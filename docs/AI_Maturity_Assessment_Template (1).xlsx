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2f5547dd5fd8e18/1-FR/2-COMMERCIALE/Strategia FRP IA/"/>
    </mc:Choice>
  </mc:AlternateContent>
  <xr:revisionPtr revIDLastSave="302" documentId="11_E5C118E909A249032EC725513BE48A558F5F2FEC" xr6:coauthVersionLast="47" xr6:coauthVersionMax="47" xr10:uidLastSave="{F1D852BA-D156-4F15-A4F9-5495E7E57871}"/>
  <bookViews>
    <workbookView xWindow="750" yWindow="-24000" windowWidth="21825" windowHeight="24105" activeTab="2" xr2:uid="{00000000-000D-0000-FFFF-FFFF00000000}"/>
  </bookViews>
  <sheets>
    <sheet name="Dashboard" sheetId="1" r:id="rId1"/>
    <sheet name="Questionario" sheetId="2" r:id="rId2"/>
    <sheet name="Calcoli" sheetId="3" r:id="rId3"/>
    <sheet name="Doman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C40" i="3"/>
  <c r="C39" i="3"/>
  <c r="C38" i="3"/>
  <c r="C37" i="3"/>
  <c r="C36" i="3"/>
  <c r="B17" i="3"/>
  <c r="B14" i="3"/>
  <c r="B11" i="3"/>
  <c r="B5" i="3"/>
  <c r="B8" i="3"/>
  <c r="H19" i="3"/>
  <c r="G19" i="3"/>
  <c r="H18" i="3"/>
  <c r="G18" i="3"/>
  <c r="I18" i="3" s="1"/>
  <c r="J18" i="3" s="1"/>
  <c r="H17" i="3"/>
  <c r="G17" i="3"/>
  <c r="H16" i="3"/>
  <c r="G16" i="3"/>
  <c r="I16" i="3" s="1"/>
  <c r="J16" i="3" s="1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I5" i="3" s="1"/>
  <c r="D15" i="1"/>
  <c r="B15" i="1"/>
  <c r="D14" i="1"/>
  <c r="B14" i="1"/>
  <c r="D13" i="1"/>
  <c r="B13" i="1"/>
  <c r="D12" i="1"/>
  <c r="B12" i="1"/>
  <c r="D11" i="1"/>
  <c r="B11" i="1"/>
  <c r="I6" i="3" l="1"/>
  <c r="J6" i="3" s="1"/>
  <c r="I14" i="3"/>
  <c r="J14" i="3" s="1"/>
  <c r="I9" i="3"/>
  <c r="J9" i="3" s="1"/>
  <c r="I19" i="3"/>
  <c r="J19" i="3" s="1"/>
  <c r="I17" i="3"/>
  <c r="J17" i="3" s="1"/>
  <c r="H27" i="3" s="1"/>
  <c r="I15" i="3"/>
  <c r="J15" i="3" s="1"/>
  <c r="H26" i="3" s="1"/>
  <c r="I13" i="3"/>
  <c r="J13" i="3" s="1"/>
  <c r="I12" i="3"/>
  <c r="J12" i="3" s="1"/>
  <c r="I11" i="3"/>
  <c r="J11" i="3" s="1"/>
  <c r="I8" i="3"/>
  <c r="J8" i="3" s="1"/>
  <c r="I7" i="3"/>
  <c r="J7" i="3" s="1"/>
  <c r="H23" i="3" s="1"/>
  <c r="I10" i="3"/>
  <c r="J10" i="3" s="1"/>
  <c r="H25" i="3" l="1"/>
  <c r="H24" i="3"/>
  <c r="J27" i="3"/>
  <c r="C15" i="1"/>
  <c r="J26" i="3"/>
  <c r="C14" i="1"/>
  <c r="C11" i="1"/>
  <c r="J23" i="3"/>
  <c r="B36" i="3" s="1"/>
  <c r="J25" i="3" l="1"/>
  <c r="C13" i="1"/>
  <c r="J24" i="3"/>
  <c r="I30" i="3" s="1"/>
  <c r="C12" i="1"/>
  <c r="B39" i="3"/>
  <c r="E14" i="1"/>
  <c r="B40" i="3"/>
  <c r="E15" i="1"/>
  <c r="E11" i="1"/>
  <c r="E13" i="1" l="1"/>
  <c r="B38" i="3"/>
  <c r="E12" i="1"/>
  <c r="B37" i="3"/>
  <c r="G32" i="3"/>
  <c r="B6" i="1" s="1"/>
  <c r="B4" i="1"/>
</calcChain>
</file>

<file path=xl/sharedStrings.xml><?xml version="1.0" encoding="utf-8"?>
<sst xmlns="http://schemas.openxmlformats.org/spreadsheetml/2006/main" count="256" uniqueCount="219">
  <si>
    <t>DASHBOARD - AI MATURITY ASSESSMENT</t>
  </si>
  <si>
    <t>PUNTEGGIO COMPLESSIVO (0-100)</t>
  </si>
  <si>
    <t>LEGENDA LIVELLI DI MATURITÀ</t>
  </si>
  <si>
    <t>0-20</t>
  </si>
  <si>
    <t>Iniziale</t>
  </si>
  <si>
    <t>LIVELLO</t>
  </si>
  <si>
    <t>21-40</t>
  </si>
  <si>
    <t>Consapevole</t>
  </si>
  <si>
    <t>41-60</t>
  </si>
  <si>
    <t>In Sviluppo</t>
  </si>
  <si>
    <t>61-80</t>
  </si>
  <si>
    <t>Avanzato</t>
  </si>
  <si>
    <t>81-100</t>
  </si>
  <si>
    <t>Leader</t>
  </si>
  <si>
    <t>PUNTEGGI PER AREA</t>
  </si>
  <si>
    <t>Area</t>
  </si>
  <si>
    <t>Punteggio</t>
  </si>
  <si>
    <t>Peso</t>
  </si>
  <si>
    <t>Contributo</t>
  </si>
  <si>
    <t>ANALISI GAP E RACCOMANDAZIONI</t>
  </si>
  <si>
    <t>Aree con punteggio &lt; 40 (CRITICHE)</t>
  </si>
  <si>
    <t>Aree con punteggio 40-70 (ATTENZIONE)</t>
  </si>
  <si>
    <t>Aree con punteggio &gt; 70 (PUNTI DI FORZA)</t>
  </si>
  <si>
    <t>NOTE INTERPRETATIVE (SCALA 0-5 CORRETTA)</t>
  </si>
  <si>
    <t>• Scala 0-5: Il punteggio minimo è 0 (assente) e massimo è 100 (eccellenza), sfruttando l'intero range.</t>
  </si>
  <si>
    <t>• Un punteggio basso identifica precisamente le aree critiche su cui investire prioritariamente.</t>
  </si>
  <si>
    <t>• Le aree "Governance" e "Infrastruttura" pesano 25% ciascuna: sono fondamentali e bloccanti.</t>
  </si>
  <si>
    <t>• È normale avere disomogeneità: concentrarsi prima sulle criticità con peso maggiore.</t>
  </si>
  <si>
    <t>• Ripetere l'assessment ogni 6-12 mesi per monitorare progressi e ROI degli investimenti.</t>
  </si>
  <si>
    <t>AI MATURITY ASSESSMENT - QUESTIONARIO</t>
  </si>
  <si>
    <t>ISTRUZIONI: Per ogni domanda, selezionare il livello che meglio descrive la situazione attuale (0=Assente, 5=Ottimale). Scala 0-5 per sfruttare l'intero range di valutazione.</t>
  </si>
  <si>
    <t>Codice</t>
  </si>
  <si>
    <t>Domanda</t>
  </si>
  <si>
    <t>Risposta (0-5)</t>
  </si>
  <si>
    <t>Descrizione Livello</t>
  </si>
  <si>
    <t>Note</t>
  </si>
  <si>
    <t>GOVERNANCE E STRATEGIA</t>
  </si>
  <si>
    <t>1.1.a</t>
  </si>
  <si>
    <t>In quale fase si trova attualmente l'organizzazione rispetto alla definizione di una roadmap per l'intelligenza artificiale?</t>
  </si>
  <si>
    <t>0=Inesistente | 1=Mai discussa formalmente | 2=In discussione iniziale | 3=Abbozzata | 4=Documentata e condivisa | 5=Formalizzata e in implementazione</t>
  </si>
  <si>
    <t>1.1.b</t>
  </si>
  <si>
    <t>Come vengono identificate e prioritizzate le opportunità di applicazione dell'IA?</t>
  </si>
  <si>
    <t>0=Nessun processo | 1=Approccio casuale | 2=Su richiesta dipartimenti | 3=Iniziative sporadiche | 4=Processo definito | 5=Metodologia strutturata ricorrente</t>
  </si>
  <si>
    <t>1.2.a</t>
  </si>
  <si>
    <t>Chi si occupa attualmente di valutare e proporre soluzioni basate su intelligenza artificiale?</t>
  </si>
  <si>
    <t>0=Nessuno | 1=Interesse occasionale | 2=Risorse IT generiche | 3=Individui senza mandato | 4=Gruppo informale | 5=Team dedicato con budget</t>
  </si>
  <si>
    <t>1.2.b</t>
  </si>
  <si>
    <t>Quale livello di autonomia decisionale ha chi si occupa di iniziative AI?</t>
  </si>
  <si>
    <t>0=Non applicabile | 1=Nessuna autonomia | 2=Molteplici approvazioni | 3=Limitata per piloti | 4=Media entità | 5=Piena autonomia strategica</t>
  </si>
  <si>
    <t>1.3.a</t>
  </si>
  <si>
    <t>In che modo le iniziative tecnologiche emergenti vengono valutate rispetto agli obiettivi di business?</t>
  </si>
  <si>
    <t>0=Nessuna valutazione | 1=Nessuna connessione | 2=Caso per caso | 3=Framework generale | 4=Mappate su obiettivi | 5=Integrate in pianificazione</t>
  </si>
  <si>
    <t>1.3.b</t>
  </si>
  <si>
    <t>Con quale frequenza il management discute l'impatto potenziale delle nuove tecnologie?</t>
  </si>
  <si>
    <t>0=Mai | 1=Molto raramente | 2=Opportunità specifiche | 3=Annuale | 4=Trimestrale | 5=Permanente in direzione</t>
  </si>
  <si>
    <t>CULTURA AZIENDALE E CHANGE MANAGEMENT</t>
  </si>
  <si>
    <t>2.1.a</t>
  </si>
  <si>
    <t>Quando vengono menzionate nuove tecnologie come l'IA, qual è la reazione prevalente dei dipendenti?</t>
  </si>
  <si>
    <t>0=Ostilità | 1=Forte resistenza | 2=Indifferenza | 3=Curiosità superficiale | 4=Interesse attivo | 5=Entusiasmo e proposte</t>
  </si>
  <si>
    <t>2.1.b</t>
  </si>
  <si>
    <t>In quale percentuale i dipendenti hanno avuto esperienza diretta con strumenti basati su AI?</t>
  </si>
  <si>
    <t>0=0% | 1=&lt;10% | 2=10-30% | 3=30-50% | 4=50-70% | 5=&gt;70%</t>
  </si>
  <si>
    <t>2.2.a</t>
  </si>
  <si>
    <t>Come vengono gestiti tipicamente i cambiamenti significativi nei processi o negli strumenti?</t>
  </si>
  <si>
    <t>0=Nessuna gestione | 1=Imposizione senza supporto | 2=Comunicazione post | 3=Comunicazione pre | 4=Con formazione base | 5=Gestione completa strutturata</t>
  </si>
  <si>
    <t>2.2.b</t>
  </si>
  <si>
    <t>Quale supporto ricevono i dipendenti durante l'introduzione di nuovi strumenti tecnologici?</t>
  </si>
  <si>
    <t>0=Nessun supporto | 1=Supporto minimo | 2=Documentazione | 3=Sessione formativa | 4=Formazione+helpdesk | 5=Piano accompagnamento completo</t>
  </si>
  <si>
    <t>2.3.a</t>
  </si>
  <si>
    <t>Negli ultimi 12 mesi, quante ore di formazione digitale ha ricevuto in media ciascun dipendente?</t>
  </si>
  <si>
    <t>0=Nessuna | 1=&lt;2 ore | 2=2-5 ore | 3=5-15 ore | 4=15-30 ore | 5=&gt;30 ore</t>
  </si>
  <si>
    <t>2.3.b</t>
  </si>
  <si>
    <t>Quale approccio viene utilizzato per lo sviluppo delle competenze digitali?</t>
  </si>
  <si>
    <t>0=Nessun approccio | 1=Informale sporadico | 2=Occasionale | 3=Catalogo on demand | 4=Piano per ruoli | 5=Percorsi personalizzati con assessment</t>
  </si>
  <si>
    <t>MATURITÀ DIGITALE DEI DIPENDENTI</t>
  </si>
  <si>
    <t>3.1.a</t>
  </si>
  <si>
    <t>Qual è il livello di autonomia dei dipendenti nell'utilizzo di strumenti digitali complessi?</t>
  </si>
  <si>
    <t>0=Non utilizzano digitale | 1=Difficoltà base | 2=Solo familiari | 3=Standard con supporto | 4=Apprendimento autonomo | 5=Pienamente autonomi</t>
  </si>
  <si>
    <t>3.1.b</t>
  </si>
  <si>
    <t>Come reagiscono i dipendenti quando devono apprendere nuove funzionalità software?</t>
  </si>
  <si>
    <t>0=Rifiuto | 1=Forte resistenza | 2=Accettazione passiva | 3=Adattamento guidato | 4=Proattività | 5=Entusiasmo e sperimentazione</t>
  </si>
  <si>
    <t>3.2.a</t>
  </si>
  <si>
    <t>Con quale frequenza i dipendenti propongono spontaneamente l'adozione di nuovi strumenti digitali?</t>
  </si>
  <si>
    <t>0=Mai | 1=Molto raramente | 2=Raramente (annuale) | 3=Occasionalmente (trimestrale) | 4=Regolarmente (mensile) | 5=Frequentemente (bottom-up)</t>
  </si>
  <si>
    <t>3.2.b</t>
  </si>
  <si>
    <t>Qual è il tempo medio necessario perché un nuovo strumento raggiunga utilizzo diffuso (&gt;70%)?</t>
  </si>
  <si>
    <t>0=Mai raggiunto | 1=&gt;12 mesi | 2=6-12 mesi | 3=3-6 mesi | 4=1-3 mesi | 5=&lt;1 mese</t>
  </si>
  <si>
    <t>3.3.a</t>
  </si>
  <si>
    <t>Quando si parla di automazione e IA, quali sono le preoccupazioni più frequenti?</t>
  </si>
  <si>
    <t>0=Paura paralizzante | 1=Timore perdita lavoro | 2=Dubbi capacità gestione | 3=Qualità/affidabilità | 4=Interesse etico | 5=Curiosità integrazione</t>
  </si>
  <si>
    <t>3.3.b</t>
  </si>
  <si>
    <t>Come viene percepita la trasparenza dell'organizzazione sull'uso di tecnologie avanzate?</t>
  </si>
  <si>
    <t>0=Opacità totale | 1=Assente | 2=Minima reattiva | 3=Occasionale | 4=Regolare proattiva | 5=Coinvolgimento attivo decisioni</t>
  </si>
  <si>
    <t>INFRASTRUTTURA TECNOLOGICA E DATI</t>
  </si>
  <si>
    <t>4.1.a</t>
  </si>
  <si>
    <t>Quale percentuale dei sistemi aziendali è stata aggiornata negli ultimi 3 anni?</t>
  </si>
  <si>
    <t>0=0% | 1=&lt;20% | 2=20-40% | 3=40-60% | 4=60-80% | 5=&gt;80%</t>
  </si>
  <si>
    <t>4.1.b</t>
  </si>
  <si>
    <t>Come viene gestita l'infrastruttura IT in relazione a nuove esigenze computazionali?</t>
  </si>
  <si>
    <t>0=Inesistente/obsoleta | 1=Rigida | 2=Lenta (&gt;6m) | 3=Media (3-6m) | 4=Flessibile (1-3m) | 5=Cloud dinamica immediata</t>
  </si>
  <si>
    <t>4.2.a</t>
  </si>
  <si>
    <t>Quanto tempo è necessario per estrarre e aggregare dati da diverse fonti per un'analisi?</t>
  </si>
  <si>
    <t>0=Impossibile | 1=&gt;1 settimana | 2=3-7 giorni | 3=1-3 giorni | 4=Poche ore | 5=Minuti (self-service)</t>
  </si>
  <si>
    <t>4.2.b</t>
  </si>
  <si>
    <t>In quale formato sono prevalentemente conservati i dati aziendali critici?</t>
  </si>
  <si>
    <t>0=Non digitalizzati | 1=Cartaceo/file | 2=Legacy isolati | 3=DB limitata integrazione | 4=Data warehouse | 5=Data lake moderno</t>
  </si>
  <si>
    <t>4.3.a</t>
  </si>
  <si>
    <t>Esistono policy documentate per la gestione del ciclo di vita dei dati?</t>
  </si>
  <si>
    <t>0=Non esistono | 1=Solo verbali | 2=Informali | 3=Documentate non applicate | 4=Applicate periodicamente | 5=Framework completo</t>
  </si>
  <si>
    <t>4.3.b</t>
  </si>
  <si>
    <t>Come viene garantita la conformità alle normative sulla protezione dei dati (es. GDPR)?</t>
  </si>
  <si>
    <t>0=Non conformi | 1=Non verificata | 2=Reattiva | 3=Verifica annuale | 4=Audit periodici | 5=Privacy by design + DPO</t>
  </si>
  <si>
    <t>CAPACITÀ DI INNOVAZIONE E RICERCA</t>
  </si>
  <si>
    <t>5.1.a</t>
  </si>
  <si>
    <t>Quale percentuale del fatturato viene destinata a ricerca, sviluppo e innovazione?</t>
  </si>
  <si>
    <t>0=0% | 1=&lt;0.5% | 2=0.5-1% | 3=1-3% | 4=3-5% | 5=&gt;5%</t>
  </si>
  <si>
    <t>5.1.b</t>
  </si>
  <si>
    <t>Come vengono allocate le risorse per progetti innovativi?</t>
  </si>
  <si>
    <t>0=Nessun budget | 1=Sporadico ad-hoc | 2=Residuale | 3=Budget fisso | 4=Con revisione periodica | 5=Innovation fund strutturato</t>
  </si>
  <si>
    <t>5.2.a</t>
  </si>
  <si>
    <t>Quante partnership attive con università/centri di ricerca/startup ha l'organizzazione?</t>
  </si>
  <si>
    <t>0=Nessuna | 1=1 sporadica | 2=1-2 occasionali | 3=3-5 | 4=6-10 strutturate | 5=&gt;10 con framework</t>
  </si>
  <si>
    <t>5.2.b</t>
  </si>
  <si>
    <t>In che modo l'organizzazione si tiene aggiornata sulle innovazioni del settore?</t>
  </si>
  <si>
    <t>0=Non monitora | 1=Nessun processo | 2=Occasionale | 3=Monitoraggio passivo | 4=Partecipazione regolare | 5=Ecosystem attivo</t>
  </si>
  <si>
    <t>5.3.a</t>
  </si>
  <si>
    <t>Negli ultimi 24 mesi, quanti progetti pilota su tecnologie emergenti sono stati avviati?</t>
  </si>
  <si>
    <t>0=Nessuno | 1=1 tentativo | 2=1-2 | 3=3-5 | 4=6-10 | 5=&gt;10 con metodologia</t>
  </si>
  <si>
    <t>5.3.b</t>
  </si>
  <si>
    <t>Qual è il tasso di successo (pilota→produzione) dei progetti innovativi?</t>
  </si>
  <si>
    <t>0=0% o N/A | 1=&lt;10% | 2=10-25% | 3=25-40% | 4=40-60% | 5=&gt;60% con processo</t>
  </si>
  <si>
    <t>CALCOLI PUNTEGGI - AI MATURITY ASSESSMENT (Scala 0-5)</t>
  </si>
  <si>
    <t>SISTEMA DI PESATURA</t>
  </si>
  <si>
    <t>CALCOLO PUNTEGGI PER ELEMENTO (Scala 0-5)</t>
  </si>
  <si>
    <t>Peso Area</t>
  </si>
  <si>
    <t>Elemento</t>
  </si>
  <si>
    <t>Peso Elemento</t>
  </si>
  <si>
    <t>Domanda A</t>
  </si>
  <si>
    <t>Domanda B</t>
  </si>
  <si>
    <t>Media (0-5)</t>
  </si>
  <si>
    <t>Punteggio %</t>
  </si>
  <si>
    <t>1. Governance e Strategia</t>
  </si>
  <si>
    <t>1.1</t>
  </si>
  <si>
    <t>1.2</t>
  </si>
  <si>
    <t>1.3</t>
  </si>
  <si>
    <t>2. Cultura e Change Management</t>
  </si>
  <si>
    <t>2.1</t>
  </si>
  <si>
    <t>2.2</t>
  </si>
  <si>
    <t>2.3</t>
  </si>
  <si>
    <t>3. Maturità Digitale Dipendenti</t>
  </si>
  <si>
    <t>3.1</t>
  </si>
  <si>
    <t>3.2</t>
  </si>
  <si>
    <t>3.3</t>
  </si>
  <si>
    <t>4. Infrastruttura e Dati</t>
  </si>
  <si>
    <t>4.1</t>
  </si>
  <si>
    <t>4.2</t>
  </si>
  <si>
    <t>4.3</t>
  </si>
  <si>
    <t>5. Innovazione e Ricerca</t>
  </si>
  <si>
    <t>5.1</t>
  </si>
  <si>
    <t>5.2</t>
  </si>
  <si>
    <t>5.3</t>
  </si>
  <si>
    <t>Elementi</t>
  </si>
  <si>
    <t>Media Area</t>
  </si>
  <si>
    <t>Punteggio Pesato</t>
  </si>
  <si>
    <t>x.1-x.3</t>
  </si>
  <si>
    <t>PUNTEGGIO TOTALE AI MATURITY (0-100)</t>
  </si>
  <si>
    <t>LIVELLO DI MATURITÀ</t>
  </si>
  <si>
    <t>AREA 1: GOVERNANCE E STRATEGIA</t>
  </si>
  <si>
    <t>Elemento 1.1: Strategia AI definita</t>
  </si>
  <si>
    <t>Elemento 1.2: Team o responsabile AI</t>
  </si>
  <si>
    <t>Elemento 1.3: Allineamento strategico</t>
  </si>
  <si>
    <t xml:space="preserve">AREA 2: CULTURA AZIENDALE E CHANGE MANAGEMENT </t>
  </si>
  <si>
    <t>Elemento 2.1: Conoscenza e accettazione dell'AI</t>
  </si>
  <si>
    <t>2.1.a Quando vengono menzionate nuove tecnologie come l'intelligenza artificiale, qual è la reazione prevalente dei dipendenti?
	• 0 = Ostilità aperta e blocco
	• 1 = Forte scetticismo e resistenza
	• 2 = Indifferenza o disinteresse
	• 3 = Curiosità superficiale
	• 4 = Interesse attivo con richieste di approfondimento
	• 5 = Entusiasmo e proposta spontanea di casi d'uso</t>
  </si>
  <si>
    <t>Elemento 2.2: Processi di Change Management</t>
  </si>
  <si>
    <t>VAL.</t>
  </si>
  <si>
    <t>Elemento 2.3: Formazione continua sull'AI</t>
  </si>
  <si>
    <t>AREA 3: MATURITÀ DIGITALE DEI DIPENDENTI</t>
  </si>
  <si>
    <t>Elemento 3.1: Competenze digitali</t>
  </si>
  <si>
    <t>3.1.a Qual è il livello di autonomia dei dipendenti nell'utilizzo di strumenti digitali complessi (es. piattaforme collaborative, analytics, workflow automation)?
	• 0 = Non utilizzano strumenti digitali
	• 1 = Difficoltà anche con strumenti base
	• 2 = Autonomi solo su strumenti base e familiari
	• 3 = Autonomi su strumenti standard ma richiedono supporto per novità
	• 4 = Autonomi nell'apprendimento di nuovi strumenti con minimo supporto
	• 5 = Pienamente autonomi, capaci di esplorare e proporre nuovi strumenti</t>
  </si>
  <si>
    <t>3.1.b Come reagiscono i dipendenti quando devono apprendere nuove funzionalità software?
	• 0 = Rifiuto categorico
	• 1 = Con forte resistenza e richiesta di mantenere vecchi metodi
	• 2 = Con accettazione passiva ma lentezza nell'adozione
	• 3 = Con adattamento progressivo se supportati
	• 4 = Con proattività nell'esplorazione guidata
	• 5 = Con entusiasmo e sperimentazione autonoma</t>
  </si>
  <si>
    <t>Elemento 3.2: Apertura a nuovi strumenti</t>
  </si>
  <si>
    <t>3.2.a Con quale frequenza i dipendenti propongono spontaneamente l'adozione di nuovi strumenti digitali?
	• 0 = Mai
	• 1 = Molto raramente (forse una proposta all'anno)
	• 2 = Raramente (qualche proposta all'anno)
	• 3 = Occasionalmente (qualche proposta al trimestre)
	• 4 = Regolarmente (più proposte al mese)
	• 5 = Frequentemente con iniziative bottom-up strutturate</t>
  </si>
  <si>
    <t>3.2.b Qual è il tempo medio necessario perché un nuovo strumento digitale raggiunga un utilizzo diffuso (&gt;70% target users)?
	• 0 = Mai raggiunto l'obiettivo
	• 1 = Oltre 12 mesi
	• 2 = Tra 6 e 12 mesi
	• 3 = Tra 3 e 6 mesi
	• 4 = Tra 1 e 3 mesi
	• 5 = Meno di 1 mese</t>
  </si>
  <si>
    <t>Elemento 3.3: Preoccupazioni su affidabilità ed etica</t>
  </si>
  <si>
    <t>3.3.a Quando si parla di automazione e intelligenza artificiale, quali sono le preoccupazioni più frequentemente espresse?
	• 0 = Paura paralizzante che blocca qualsiasi discussione
	• 1 = Forte timore per la perdita del posto di lavoro
	• 2 = Dubbi sulla capacità dell'organizzazione di gestire la transizione
	• 3 = Domande sulla qualità e affidabilità delle soluzioni
	• 4 = Interesse per le implicazioni etiche e la trasparenza
	• 5 = Curiosità costruttiva su come integrare al meglio uomo e macchina</t>
  </si>
  <si>
    <t>AREA 4: INFRASTRUTTURA TECNOLOGICA E DATI</t>
  </si>
  <si>
    <t>Elemento 4.1: Infrastruttura adeguata</t>
  </si>
  <si>
    <t>Elemento 4.2: Accessibilità e organizzazione dei dati</t>
  </si>
  <si>
    <t>4.2.b In quale formato sono prevalentemente conservati i dati aziendali critici?
	• 0 = Non digitalizzati (cartaceo)
	• 1 = Principalmente cartaceo o file non strutturati
	• 2 = Mix di sistemi legacy isolati
	• 3 = Database relazionali ma con limitata integrazione
	• 4 = Data warehouse centralizzato
	• 5 = Data lake o architettura moderna con integration layer</t>
  </si>
  <si>
    <t>Elemento 4.3: Governance dei dati</t>
  </si>
  <si>
    <t>4.3.b Come viene garantita la conformità alle normative sulla protezione dei dati (es. GDPR)?
	• 0 = Non conformi, nessuna azione
	• 1 = Conformità non verificata
	• 2 = Compliance reattiva su segnalazione
	• 3 = Verifica annuale con interventi correttivi
	• 4 = Processi strutturati con audit periodici
	• 5 = Privacy by design con monitoraggio continuo e DPO attivo</t>
  </si>
  <si>
    <t>AREA 5: CAPACITÀ DI INNOVAZIONE E RICERCA</t>
  </si>
  <si>
    <t>Elemento 5.1: Investimento in R&amp;D</t>
  </si>
  <si>
    <t>5.1.b Come vengono allocate le risorse per progetti innovativi?
	• 0 = Nessun budget dedicato
	• 1 = Allocazione sporadica ad-hoc
	• 2 = Budget residuale da altre voci
	• 3 = Budget annuale fisso senza revisione
	• 4 = Budget con revisione periodica e riallocazione
	• 5 = Sistema di innovation fund con valutazione continua di proposte</t>
  </si>
  <si>
    <t>Elemento 5.2: Collaborazioni esterne</t>
  </si>
  <si>
    <t>Elemento 5.3: Partecipazione a progetti di innovazione</t>
  </si>
  <si>
    <t>MAX</t>
  </si>
  <si>
    <t>1.1.a In quale fase si trova attualmente l'organizzazione rispetto alla definizione di una roadmap per l'intelligenza artificiale?
	• 0 = Inesistente, nessuna discussione o considerazione in merito
	• 1 = Mai discussa formalmente in nessuna sede
	• 2 = È in fase di discussione iniziale
	• 3 = È stata abbozzata ma non formalizzata
	• 4 = È documentata e condivisa con stakeholder
	• 5 = È formalizzata, comunicata e in fase di implementazione attiva</t>
  </si>
  <si>
    <t>1.1.b Come vengono identificate e prioritizzate le opportunità di applicazione dell'IA all'interno dell'organizzazione?
	• 0 = Nessun processo, nessuna considerazione
	• 1 = Approccio casuale
	• 2 = Su richiesta spontanea dei singoli
	• 3 = Attraverso iniziative sporadiche del management
	• 4 = Con un processo definito ma non sistematico
	• 5 = Con metodologia strutturata e ricorrente di scouting e valutazione</t>
  </si>
  <si>
    <t>1.2.a Chi si occupa attualmente di valutare e proporre soluzioni basate su intelligenza artificiale?
	• 0 = Nessuna considerazione del tema
	• 1 = Interesse occasionale senza responsabilità specifiche
	• 2 = Risorse IT che si occupano anche di altro
	• 3 = Singoli individui interessati senza mandato formale
	• 4 = Un gruppo informale cross-funzionale
	• 5 = Un team dedicato o responsabile con budget e mandato esplicito</t>
  </si>
  <si>
    <t>1.3.a In che modo le iniziative tecnologiche emergenti vengono valutate rispetto agli obiettivi di business?
	• 0 = Nessuna valutazione rispetto agli obiettivi
	• 1 = Non esiste una connessione esplicita tra iniziative e obiettivi
	• 2 = Vengono valutate caso per caso senza criteri uniformi
	• 3 = Esiste un framework generale per l'innovazione tecnologica
	• 4 = Vengono mappate su obiettivi specifici di business
	• 5 = Sono parte integrante della pianificazione strategica annuale</t>
  </si>
  <si>
    <t>1.3.b Con quale frequenza il management discute e valuta l'impatto potenziale ed effettivo delle nuove tecnologie sui risultati aziendali?
	• 0 = Mai
	• 1 = Molto raramente (mino di una volta all'anno)
	• 2 = Solo quando si presentano opportunità specifiche
	• 3 = In occasione della pianificazione annuale
	• 4 = Trimestralmente in review strutturate
	• 5 = È un tema che fa parte dell'agenda delle riunioni di direzione</t>
  </si>
  <si>
    <t>2.1.b In quale percentuale i dipendenti hanno avuto esperienza lavorativa diretta (anche minima) con strumenti basati su AI?
	• 0 = 0% (nessuno)
	• 1 = Meno del 10%
	• 2 = Tra 10% e 30%
	• 3 = Tra 30% e 50%
	• 4 = Tra 50% e 70%
	• 5 = Oltre il 70%</t>
  </si>
  <si>
    <t>2.2.a Come vengono gestiti tipicamente i cambiamenti significativi nei processi o negli strumenti di lavoro?
	• 0 = Nessuna gestione formale
	• 1 = Imposizione top-down
	• 2 = Comunicazione dell'avvenuto cambiamento
	• 3 = Comunicazione anticipata ma senza coinvolgimento
	• 4 = Processo strutturato con pianificazione, comunicazione e formazione base
	• 5 = Gestione completa strutturata: pianificazione, coinvolgimento, formazione, supporto, feedback continuo, review periodiche</t>
  </si>
  <si>
    <t>2.2.b Quale supporto ricevono i dipendenti durante e dopo l'introduzione di nuovi strumenti tecnologici?
	• 0 = Nessun supporto di alcun tipo
	• 1 = Supporto minimo basato prevalentemente sui colleghi esperti
	• 2 = Documentazione da consultare autonomamente
	• 3 = Sessione formativa iniziale una tantum
	• 4 = Formazione iniziale più helpdesk reattivo
	• 5 = Piano di accompagnamento completo con esperti, formatori, helpdesk proattivo e follow-up</t>
  </si>
  <si>
    <t>2.3.a Negli ultimi 12 mesi, quante ore di formazione su temi di innovazione digitale ha ricevuto in media ciascun dipendente?
	• 0 = Nessuna (0 ore)
	• 1 = Meno di 4 ore
	• 2 = Tra 4 e 8 ore
	• 3 = Tra 8 e 16 ore
	• 4 = Tra 16 e 32 ore
	• 5 = Oltre 32 ore</t>
  </si>
  <si>
    <t>2.3.b Quale approccio viene utilizzato per lo sviluppo delle competenze digitali?
	• 0 = Nessun approccio strutturato
	• 1 = Informale e sporadico
	• 2 = Formazione generica
	• 3 = Catalogo di corsi disponibili su richiesta
	• 4 = Piano formativo definito per ruoli/funzioni
	• 5 = Percorsi personalizzati con assessment iniziale, formazione mirata e verifica finale</t>
  </si>
  <si>
    <t>3.3.b Come viene percepita la trasparenza dell'organizzazione riguardo all'uso di tecnologie avanzate?
	• 0 = Opacità totale, nessuna comunicazione
	• 1 = Mancanza totale di comunicazione
	• 2 = Comunicazione minima
	• 3 = Comunicazione occasionale su richiesta
	• 4 = Comunicazione regolare proattiva
	• 5 = Coinvolgimento attivo dei dipendenti nelle decisioni tecnologiche</t>
  </si>
  <si>
    <t>4.1.a Quale percentuale dei sistemi e banche dati aziendali è aggiornato con dati affidabili?
	• 0 = 0% (nessun sistema può definirsi affidabile)
	• 1 = Meno del 20%
	• 2 = Tra 20% e 40%
	• 3 = Tra 40% e 60%
	• 4 = Tra 60% e 80%
	• 5 = Oltre  80%</t>
  </si>
  <si>
    <t>4.1.b Come viene gestita l'infrastruttura IT in relazione a nuove esigenze computazionali?
	• 0 = Inesistente o completamente obsoleta
	• 1 = Infrastructure rigida senza possibilità di espansione
	• 2 = Aggiornamenti possibili ma con tempi lunghi (&gt;6 mesi)
	• 3 = Scalabilità limitata con tempistiche medie (3-6 mesi)
	• 4 = Buona flessibilità con provisioning rapido (1-3 mesi)
	• 5 = Architettura con scalabilità dinamica e immediata</t>
  </si>
  <si>
    <t>4.2.a Quanto tempo è necessario mediamente per estrarre e aggregare dati da diverse fonti aziendali per un'analisi?
	• 0 = Impossibile estrarre/aggregare
	• 1 = Tempi superiori al mese
	• 2 = Tempi entro il mese
	• 3 = Meno di una settimana da parte dell'IT
	• 4 = Da qualche ora a qualche giorno con supporto IT
	• 5 = In tempo reale, autonomamente tramite piattaforme self-service</t>
  </si>
  <si>
    <t>4.3.a Esistono policy documentate per la gestione del ciclo di vita dei dati (raccolta, storage, utilizzo, cancellazione)?
	• 0 = Non esistono policy
	• 1 = Solo criteri verbali informali 
	• 2 = Ci sono Policy non documentate
	• 3 = Policy documentate ma non applicate sistematicamente
	• 4 = Policy documentate e applicate con controlli periodici
	• 5 = Framework completo di data governance con ruoli, processi e monitoraggio continuo</t>
  </si>
  <si>
    <t>5.1.a Quale percentuale del fatturato viene destinata annualmente a ricerca, sviluppo e innovazione effettive?
	• 0 = 0% (nessun investimento tracciato)
	• 1 = Meno dello 0.2%
	• 2 = Tra 0.2% e 0.5%
	• 3 = Tra 0.5% e 1%
	• 4 = Tra 1% e 3%
	• 5 = Oltre 3%</t>
  </si>
  <si>
    <t>5.2.a Quante partnership attive con università, centri di ricerca o startup innovative ha fatto l'organizzazione negli ultimi 3 anni?
	• 0 = Nessuna
	• 1 = 1 collaborazione sporadica
	• 2 = 1-2 collaborazioni occasionali
	• 3 = 3-5 collaborazioni
	• 4 = 6-10 collaborazioni strutturate
	• 5 = Oltre 10 collaborazioni con framework di open innovation</t>
  </si>
  <si>
    <t>5.2.b In che modo l'organizzazione si tiene aggiornata sulle innovazioni del proprio settore?
	• 0 = Non monitora innovazioni
	• 1 = Nessun processo strutturato
	• 2 = Partecipazione occasionale a eventi
	• 3 = Monitoraggio passivo tramite pubblicazioni
	• 4 = Partecipazione regolare a conferenze e network
	• 5 = Monitoraggio attivo con attività di scouting, governance interna e partecipazione a consorzi</t>
  </si>
  <si>
    <t>5.3.a Negli ultimi 3 anni, quanti progetti pilota o proof-of-concept su tecnologie emergenti sono stati avviati?
	• 0 = Nessuno
	• 1 = 1 tentativo non completato
	• 2 = 1-2 progetti
	• 3 = 3-5 progetti
	• 4 = 6-10 progetti
	• 5 = Oltre 10 progetti con metodologia strutturata</t>
  </si>
  <si>
    <t>5.3.b Qual è il tasso di successo (passaggio da pilota a produzione) dei progetti innovativi?
	• 0 = 0% o non applicabile (nessun progetto)
	• 1 = Meno del 20%
	• 2 = Tra 20% e 40%
	• 3 = Tra 40% e 60%
	• 4 = Tra 60% e 80%
	• 5 = Oltre 80% con processo di scaling definito</t>
  </si>
  <si>
    <t>1.2.b Quale livello di autonomia decisionale ha chi si occupa di iniziative AI nell'allocazione di risorse?
	• 0 = Non applicabile (nessuno si occupa di AI)
	• 1 = Nessuna autonomia
	• 2 = Deve passare attraverso molteplici livelli di approvazione
	• 3 = Ha autonomia limitata per progetti pilota
	• 4 = Ha autonomia per progetti di media entità
	• 5 = Ha piena autonomia strategica e budget dedicato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</si>
</sst>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8"/>
      <color rgb="FFFFFFFF"/>
      <name val="Calibri"/>
      <family val="2"/>
    </font>
    <font>
      <b/>
      <sz val="36"/>
      <name val="Calibri"/>
      <family val="2"/>
    </font>
    <font>
      <b/>
      <sz val="20"/>
      <color rgb="FFFFFFFF"/>
      <name val="Calibri"/>
      <family val="2"/>
    </font>
    <font>
      <b/>
      <sz val="11"/>
      <color rgb="FFC0000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C6E0B4"/>
        <bgColor rgb="FFC6E0B4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4" borderId="0" xfId="0" applyFont="1" applyFill="1"/>
    <xf numFmtId="2" fontId="0" fillId="0" borderId="0" xfId="0" applyNumberFormat="1"/>
    <xf numFmtId="10" fontId="0" fillId="0" borderId="0" xfId="0" applyNumberFormat="1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12" fillId="0" borderId="0" xfId="0" applyFont="1"/>
    <xf numFmtId="0" fontId="0" fillId="0" borderId="0" xfId="0"/>
    <xf numFmtId="0" fontId="7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4" borderId="0" xfId="0" applyFont="1" applyFill="1"/>
    <xf numFmtId="0" fontId="0" fillId="0" borderId="0" xfId="0" applyAlignment="1">
      <alignment wrapText="1"/>
    </xf>
    <xf numFmtId="0" fontId="5" fillId="8" borderId="0" xfId="0" applyFont="1" applyFill="1"/>
    <xf numFmtId="2" fontId="9" fillId="0" borderId="0" xfId="0" applyNumberFormat="1" applyFont="1" applyAlignment="1">
      <alignment horizontal="center"/>
    </xf>
    <xf numFmtId="0" fontId="13" fillId="0" borderId="0" xfId="0" applyFont="1"/>
    <xf numFmtId="0" fontId="6" fillId="3" borderId="0" xfId="0" applyFont="1" applyFill="1"/>
    <xf numFmtId="0" fontId="11" fillId="0" borderId="0" xfId="0" applyFont="1"/>
    <xf numFmtId="0" fontId="8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7" fillId="7" borderId="0" xfId="0" applyNumberFormat="1" applyFont="1" applyFill="1" applyAlignment="1">
      <alignment horizontal="center"/>
    </xf>
    <xf numFmtId="0" fontId="7" fillId="6" borderId="0" xfId="0" applyFont="1" applyFill="1"/>
    <xf numFmtId="0" fontId="14" fillId="0" borderId="0" xfId="0" applyFont="1"/>
    <xf numFmtId="0" fontId="0" fillId="14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15" borderId="1" xfId="0" applyFill="1" applyBorder="1" applyAlignment="1">
      <alignment vertical="top"/>
    </xf>
    <xf numFmtId="0" fontId="0" fillId="16" borderId="1" xfId="0" applyFill="1" applyBorder="1" applyAlignment="1">
      <alignment vertical="top"/>
    </xf>
    <xf numFmtId="0" fontId="0" fillId="17" borderId="1" xfId="0" applyFill="1" applyBorder="1" applyAlignment="1">
      <alignment vertical="top"/>
    </xf>
    <xf numFmtId="0" fontId="0" fillId="18" borderId="1" xfId="0" applyFill="1" applyBorder="1" applyAlignment="1">
      <alignment vertical="top"/>
    </xf>
    <xf numFmtId="0" fontId="0" fillId="19" borderId="1" xfId="0" applyFill="1" applyBorder="1" applyAlignment="1">
      <alignment vertical="top"/>
    </xf>
    <xf numFmtId="0" fontId="0" fillId="20" borderId="1" xfId="0" applyFill="1" applyBorder="1" applyAlignment="1">
      <alignment vertical="top"/>
    </xf>
    <xf numFmtId="0" fontId="0" fillId="21" borderId="1" xfId="0" applyFill="1" applyBorder="1" applyAlignment="1">
      <alignment vertical="top"/>
    </xf>
    <xf numFmtId="0" fontId="0" fillId="22" borderId="1" xfId="0" applyFill="1" applyBorder="1" applyAlignment="1">
      <alignment vertical="top"/>
    </xf>
    <xf numFmtId="0" fontId="0" fillId="0" borderId="0" xfId="0" applyAlignment="1">
      <alignment vertical="top"/>
    </xf>
    <xf numFmtId="0" fontId="16" fillId="23" borderId="1" xfId="0" applyFont="1" applyFill="1" applyBorder="1" applyAlignment="1">
      <alignment vertical="top"/>
    </xf>
    <xf numFmtId="0" fontId="16" fillId="13" borderId="1" xfId="0" applyFont="1" applyFill="1" applyBorder="1" applyAlignment="1">
      <alignment vertical="top"/>
    </xf>
    <xf numFmtId="0" fontId="15" fillId="14" borderId="1" xfId="0" applyFont="1" applyFill="1" applyBorder="1" applyAlignment="1">
      <alignment vertical="top"/>
    </xf>
    <xf numFmtId="0" fontId="16" fillId="15" borderId="1" xfId="0" applyFont="1" applyFill="1" applyBorder="1" applyAlignment="1">
      <alignment vertical="top"/>
    </xf>
    <xf numFmtId="0" fontId="15" fillId="16" borderId="1" xfId="0" applyFont="1" applyFill="1" applyBorder="1" applyAlignment="1">
      <alignment vertical="top"/>
    </xf>
    <xf numFmtId="0" fontId="16" fillId="17" borderId="1" xfId="0" applyFont="1" applyFill="1" applyBorder="1" applyAlignment="1">
      <alignment vertical="top"/>
    </xf>
    <xf numFmtId="0" fontId="15" fillId="18" borderId="1" xfId="0" applyFont="1" applyFill="1" applyBorder="1" applyAlignment="1">
      <alignment vertical="top"/>
    </xf>
    <xf numFmtId="0" fontId="16" fillId="19" borderId="1" xfId="0" applyFont="1" applyFill="1" applyBorder="1" applyAlignment="1">
      <alignment vertical="top"/>
    </xf>
    <xf numFmtId="0" fontId="15" fillId="20" borderId="1" xfId="0" applyFont="1" applyFill="1" applyBorder="1" applyAlignment="1">
      <alignment vertical="top"/>
    </xf>
    <xf numFmtId="0" fontId="16" fillId="21" borderId="1" xfId="0" applyFont="1" applyFill="1" applyBorder="1" applyAlignment="1">
      <alignment vertical="top"/>
    </xf>
    <xf numFmtId="0" fontId="15" fillId="22" borderId="1" xfId="0" applyFont="1" applyFill="1" applyBorder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Maturity</a:t>
            </a:r>
            <a:r>
              <a:rPr lang="it-IT" baseline="0"/>
              <a:t> Assessment</a:t>
            </a:r>
            <a:endParaRPr lang="it-IT"/>
          </a:p>
        </c:rich>
      </c:tx>
      <c:layout>
        <c:manualLayout>
          <c:xMode val="edge"/>
          <c:yMode val="edge"/>
          <c:x val="3.3465223097112862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32035496231420268"/>
          <c:y val="0.26176764362787985"/>
          <c:w val="0.3753575589147613"/>
          <c:h val="0.68971482056014821"/>
        </c:manualLayout>
      </c:layout>
      <c:radarChart>
        <c:radarStyle val="marker"/>
        <c:varyColors val="0"/>
        <c:ser>
          <c:idx val="0"/>
          <c:order val="0"/>
          <c:tx>
            <c:strRef>
              <c:f>Calcoli!$B$35</c:f>
              <c:strCache>
                <c:ptCount val="1"/>
                <c:pt idx="0">
                  <c:v>Punteggio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Calcoli!$A$36:$A$40</c:f>
              <c:strCache>
                <c:ptCount val="5"/>
                <c:pt idx="0">
                  <c:v>1. Governance e Strategia</c:v>
                </c:pt>
                <c:pt idx="1">
                  <c:v>2. Cultura e Change Management</c:v>
                </c:pt>
                <c:pt idx="2">
                  <c:v>3. Maturità Digitale Dipendenti</c:v>
                </c:pt>
                <c:pt idx="3">
                  <c:v>4. Infrastruttura e Dati</c:v>
                </c:pt>
                <c:pt idx="4">
                  <c:v>5. Innovazione e Ricerca</c:v>
                </c:pt>
              </c:strCache>
            </c:strRef>
          </c:cat>
          <c:val>
            <c:numRef>
              <c:f>Calcoli!$B$36:$B$40</c:f>
              <c:numCache>
                <c:formatCode>0.00</c:formatCode>
                <c:ptCount val="5"/>
                <c:pt idx="0">
                  <c:v>9.1666666666666661</c:v>
                </c:pt>
                <c:pt idx="1">
                  <c:v>12.5</c:v>
                </c:pt>
                <c:pt idx="2">
                  <c:v>4.2666666666666666</c:v>
                </c:pt>
                <c:pt idx="3">
                  <c:v>10.266666666666666</c:v>
                </c:pt>
                <c:pt idx="4">
                  <c:v>4.3999999999999995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2-42F9-A2C4-B18FE04E2D65}"/>
            </c:ext>
          </c:extLst>
        </c:ser>
        <c:ser>
          <c:idx val="1"/>
          <c:order val="1"/>
          <c:tx>
            <c:strRef>
              <c:f>Calcoli!$C$35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Calcoli!$A$36:$A$40</c:f>
              <c:strCache>
                <c:ptCount val="5"/>
                <c:pt idx="0">
                  <c:v>1. Governance e Strategia</c:v>
                </c:pt>
                <c:pt idx="1">
                  <c:v>2. Cultura e Change Management</c:v>
                </c:pt>
                <c:pt idx="2">
                  <c:v>3. Maturità Digitale Dipendenti</c:v>
                </c:pt>
                <c:pt idx="3">
                  <c:v>4. Infrastruttura e Dati</c:v>
                </c:pt>
                <c:pt idx="4">
                  <c:v>5. Innovazione e Ricerca</c:v>
                </c:pt>
              </c:strCache>
            </c:strRef>
          </c:cat>
          <c:val>
            <c:numRef>
              <c:f>Calcoli!$C$36:$C$40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16</c:v>
                </c:pt>
                <c:pt idx="3">
                  <c:v>22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2-42F9-A2C4-B18FE04E2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93583"/>
        <c:axId val="111194543"/>
      </c:radarChart>
      <c:catAx>
        <c:axId val="11119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1194543"/>
        <c:crosses val="autoZero"/>
        <c:auto val="1"/>
        <c:lblAlgn val="ctr"/>
        <c:lblOffset val="100"/>
        <c:noMultiLvlLbl val="0"/>
      </c:catAx>
      <c:valAx>
        <c:axId val="1111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119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8201071741032381"/>
          <c:y val="4.2083333333333334E-2"/>
          <c:w val="0.34153412073490813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31</xdr:row>
      <xdr:rowOff>190499</xdr:rowOff>
    </xdr:from>
    <xdr:to>
      <xdr:col>6</xdr:col>
      <xdr:colOff>990600</xdr:colOff>
      <xdr:row>52</xdr:row>
      <xdr:rowOff>9524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A90649DC-5724-41AE-8EBB-7BB831E3C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B9" sqref="B9:E9"/>
    </sheetView>
  </sheetViews>
  <sheetFormatPr defaultRowHeight="15" x14ac:dyDescent="0.25"/>
  <cols>
    <col min="2" max="2" width="35" customWidth="1"/>
    <col min="3" max="5" width="15" customWidth="1"/>
    <col min="6" max="6" width="12" customWidth="1"/>
    <col min="7" max="7" width="20" customWidth="1"/>
    <col min="8" max="8" width="25" customWidth="1"/>
  </cols>
  <sheetData>
    <row r="1" spans="1:8" ht="35.1" customHeight="1" x14ac:dyDescent="0.25">
      <c r="A1" s="24" t="s">
        <v>0</v>
      </c>
      <c r="B1" s="14"/>
      <c r="C1" s="14"/>
      <c r="D1" s="14"/>
      <c r="E1" s="14"/>
      <c r="F1" s="14"/>
      <c r="G1" s="14"/>
      <c r="H1" s="14"/>
    </row>
    <row r="3" spans="1:8" ht="18.75" x14ac:dyDescent="0.3">
      <c r="B3" s="15" t="s">
        <v>1</v>
      </c>
      <c r="C3" s="14"/>
      <c r="D3" s="14"/>
      <c r="F3" s="22" t="s">
        <v>2</v>
      </c>
      <c r="G3" s="14"/>
      <c r="H3" s="14"/>
    </row>
    <row r="4" spans="1:8" ht="50.1" customHeight="1" x14ac:dyDescent="0.7">
      <c r="B4" s="20">
        <f>Calcoli!I30</f>
        <v>40.599999999999994</v>
      </c>
      <c r="C4" s="14"/>
      <c r="D4" s="14"/>
      <c r="F4" t="s">
        <v>3</v>
      </c>
      <c r="G4" s="1" t="s">
        <v>4</v>
      </c>
    </row>
    <row r="5" spans="1:8" ht="15.75" x14ac:dyDescent="0.25">
      <c r="B5" s="16" t="s">
        <v>5</v>
      </c>
      <c r="C5" s="14"/>
      <c r="D5" s="14"/>
      <c r="F5" t="s">
        <v>6</v>
      </c>
      <c r="G5" s="2" t="s">
        <v>7</v>
      </c>
    </row>
    <row r="6" spans="1:8" ht="35.1" customHeight="1" x14ac:dyDescent="0.4">
      <c r="B6" s="25" t="str">
        <f>Calcoli!G32</f>
        <v>In Sviluppo</v>
      </c>
      <c r="C6" s="14"/>
      <c r="D6" s="14"/>
      <c r="F6" t="s">
        <v>8</v>
      </c>
      <c r="G6" s="3" t="s">
        <v>9</v>
      </c>
    </row>
    <row r="7" spans="1:8" x14ac:dyDescent="0.25">
      <c r="F7" t="s">
        <v>10</v>
      </c>
      <c r="G7" s="4" t="s">
        <v>11</v>
      </c>
    </row>
    <row r="8" spans="1:8" x14ac:dyDescent="0.25">
      <c r="F8" t="s">
        <v>12</v>
      </c>
      <c r="G8" s="5" t="s">
        <v>13</v>
      </c>
    </row>
    <row r="9" spans="1:8" ht="18.75" x14ac:dyDescent="0.3">
      <c r="B9" s="17" t="s">
        <v>14</v>
      </c>
      <c r="C9" s="14"/>
      <c r="D9" s="14"/>
      <c r="E9" s="14"/>
    </row>
    <row r="10" spans="1:8" x14ac:dyDescent="0.25">
      <c r="B10" s="6" t="s">
        <v>15</v>
      </c>
      <c r="C10" s="6" t="s">
        <v>16</v>
      </c>
      <c r="D10" s="6" t="s">
        <v>17</v>
      </c>
      <c r="E10" s="6" t="s">
        <v>18</v>
      </c>
    </row>
    <row r="11" spans="1:8" x14ac:dyDescent="0.25">
      <c r="B11" t="str">
        <f>Calcoli!F23</f>
        <v>1. Governance e Strategia</v>
      </c>
      <c r="C11" s="7">
        <f>Calcoli!H23</f>
        <v>36.666666666666664</v>
      </c>
      <c r="D11" s="8">
        <f>Calcoli!I23</f>
        <v>0.25</v>
      </c>
      <c r="E11" s="7">
        <f>Calcoli!J23</f>
        <v>9.1666666666666661</v>
      </c>
    </row>
    <row r="12" spans="1:8" x14ac:dyDescent="0.25">
      <c r="B12" t="str">
        <f>Calcoli!F24</f>
        <v>2. Cultura e Change Management</v>
      </c>
      <c r="C12" s="7">
        <f>Calcoli!H24</f>
        <v>50</v>
      </c>
      <c r="D12" s="8">
        <f>Calcoli!I24</f>
        <v>0.25</v>
      </c>
      <c r="E12" s="7">
        <f>Calcoli!J24</f>
        <v>12.5</v>
      </c>
    </row>
    <row r="13" spans="1:8" x14ac:dyDescent="0.25">
      <c r="B13" t="str">
        <f>Calcoli!F25</f>
        <v>3. Maturità Digitale Dipendenti</v>
      </c>
      <c r="C13" s="7">
        <f>Calcoli!H25</f>
        <v>26.666666666666668</v>
      </c>
      <c r="D13" s="8">
        <f>Calcoli!I25</f>
        <v>0.16</v>
      </c>
      <c r="E13" s="7">
        <f>Calcoli!J25</f>
        <v>4.2666666666666666</v>
      </c>
    </row>
    <row r="14" spans="1:8" x14ac:dyDescent="0.25">
      <c r="B14" t="str">
        <f>Calcoli!F26</f>
        <v>4. Infrastruttura e Dati</v>
      </c>
      <c r="C14" s="7">
        <f>Calcoli!H26</f>
        <v>46.666666666666664</v>
      </c>
      <c r="D14" s="8">
        <f>Calcoli!I26</f>
        <v>0.22</v>
      </c>
      <c r="E14" s="7">
        <f>Calcoli!J26</f>
        <v>10.266666666666666</v>
      </c>
    </row>
    <row r="15" spans="1:8" x14ac:dyDescent="0.25">
      <c r="B15" t="str">
        <f>Calcoli!F27</f>
        <v>5. Innovazione e Ricerca</v>
      </c>
      <c r="C15" s="7">
        <f>Calcoli!H27</f>
        <v>36.666666666666664</v>
      </c>
      <c r="D15" s="8">
        <f>Calcoli!I27</f>
        <v>0.12</v>
      </c>
      <c r="E15" s="7">
        <f>Calcoli!J27</f>
        <v>4.3999999999999995</v>
      </c>
    </row>
    <row r="18" spans="2:8" ht="18.75" x14ac:dyDescent="0.3">
      <c r="B18" s="19" t="s">
        <v>19</v>
      </c>
      <c r="C18" s="14"/>
      <c r="D18" s="14"/>
      <c r="E18" s="14"/>
      <c r="F18" s="14"/>
      <c r="G18" s="14"/>
      <c r="H18" s="14"/>
    </row>
    <row r="19" spans="2:8" x14ac:dyDescent="0.25">
      <c r="B19" s="23" t="s">
        <v>20</v>
      </c>
      <c r="C19" s="14"/>
      <c r="D19" s="14"/>
      <c r="E19" s="14"/>
    </row>
    <row r="20" spans="2:8" x14ac:dyDescent="0.25">
      <c r="B20" s="13" t="s">
        <v>21</v>
      </c>
      <c r="C20" s="14"/>
      <c r="D20" s="14"/>
      <c r="E20" s="14"/>
    </row>
    <row r="21" spans="2:8" x14ac:dyDescent="0.25">
      <c r="B21" s="21" t="s">
        <v>22</v>
      </c>
      <c r="C21" s="14"/>
      <c r="D21" s="14"/>
      <c r="E21" s="14"/>
    </row>
    <row r="24" spans="2:8" ht="15.75" x14ac:dyDescent="0.25">
      <c r="B24" s="22" t="s">
        <v>23</v>
      </c>
      <c r="C24" s="14"/>
      <c r="D24" s="14"/>
      <c r="E24" s="14"/>
      <c r="F24" s="14"/>
      <c r="G24" s="14"/>
      <c r="H24" s="14"/>
    </row>
    <row r="25" spans="2:8" x14ac:dyDescent="0.25">
      <c r="B25" s="18" t="s">
        <v>24</v>
      </c>
      <c r="C25" s="14"/>
      <c r="D25" s="14"/>
      <c r="E25" s="14"/>
      <c r="F25" s="14"/>
      <c r="G25" s="14"/>
      <c r="H25" s="14"/>
    </row>
    <row r="26" spans="2:8" x14ac:dyDescent="0.25">
      <c r="B26" s="18" t="s">
        <v>25</v>
      </c>
      <c r="C26" s="14"/>
      <c r="D26" s="14"/>
      <c r="E26" s="14"/>
      <c r="F26" s="14"/>
      <c r="G26" s="14"/>
      <c r="H26" s="14"/>
    </row>
    <row r="27" spans="2:8" x14ac:dyDescent="0.25">
      <c r="B27" s="18" t="s">
        <v>26</v>
      </c>
      <c r="C27" s="14"/>
      <c r="D27" s="14"/>
      <c r="E27" s="14"/>
      <c r="F27" s="14"/>
      <c r="G27" s="14"/>
      <c r="H27" s="14"/>
    </row>
    <row r="28" spans="2:8" x14ac:dyDescent="0.25">
      <c r="B28" s="18" t="s">
        <v>27</v>
      </c>
      <c r="C28" s="14"/>
      <c r="D28" s="14"/>
      <c r="E28" s="14"/>
      <c r="F28" s="14"/>
      <c r="G28" s="14"/>
      <c r="H28" s="14"/>
    </row>
    <row r="29" spans="2:8" x14ac:dyDescent="0.25">
      <c r="B29" s="18" t="s">
        <v>28</v>
      </c>
      <c r="C29" s="14"/>
      <c r="D29" s="14"/>
      <c r="E29" s="14"/>
      <c r="F29" s="14"/>
      <c r="G29" s="14"/>
      <c r="H29" s="14"/>
    </row>
  </sheetData>
  <mergeCells count="17">
    <mergeCell ref="A1:H1"/>
    <mergeCell ref="B29:H29"/>
    <mergeCell ref="F3:H3"/>
    <mergeCell ref="B6:D6"/>
    <mergeCell ref="B28:H28"/>
    <mergeCell ref="B27:H27"/>
    <mergeCell ref="B4:D4"/>
    <mergeCell ref="B21:E21"/>
    <mergeCell ref="B24:H24"/>
    <mergeCell ref="B25:H25"/>
    <mergeCell ref="B19:E19"/>
    <mergeCell ref="B20:E20"/>
    <mergeCell ref="B3:D3"/>
    <mergeCell ref="B5:D5"/>
    <mergeCell ref="B9:E9"/>
    <mergeCell ref="B26:H26"/>
    <mergeCell ref="B18:H1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D6" sqref="D6"/>
    </sheetView>
  </sheetViews>
  <sheetFormatPr defaultRowHeight="15" x14ac:dyDescent="0.25"/>
  <cols>
    <col min="1" max="1" width="30" customWidth="1"/>
    <col min="2" max="2" width="10" customWidth="1"/>
    <col min="3" max="3" width="70" customWidth="1"/>
    <col min="4" max="4" width="15" customWidth="1"/>
    <col min="5" max="5" width="70" customWidth="1"/>
    <col min="6" max="6" width="30" customWidth="1"/>
  </cols>
  <sheetData>
    <row r="1" spans="1:6" ht="30" customHeight="1" x14ac:dyDescent="0.25">
      <c r="A1" s="27" t="s">
        <v>29</v>
      </c>
      <c r="B1" s="14"/>
      <c r="C1" s="14"/>
      <c r="D1" s="14"/>
      <c r="E1" s="14"/>
      <c r="F1" s="14"/>
    </row>
    <row r="3" spans="1:6" ht="35.1" customHeight="1" x14ac:dyDescent="0.25">
      <c r="A3" s="26" t="s">
        <v>30</v>
      </c>
      <c r="B3" s="14"/>
      <c r="C3" s="14"/>
      <c r="D3" s="14"/>
      <c r="E3" s="14"/>
      <c r="F3" s="14"/>
    </row>
    <row r="5" spans="1:6" x14ac:dyDescent="0.25">
      <c r="A5" s="9" t="s">
        <v>15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</row>
    <row r="6" spans="1:6" ht="45" x14ac:dyDescent="0.25">
      <c r="A6" s="10" t="s">
        <v>36</v>
      </c>
      <c r="B6" s="11" t="s">
        <v>37</v>
      </c>
      <c r="C6" s="11" t="s">
        <v>38</v>
      </c>
      <c r="D6" s="11">
        <v>1</v>
      </c>
      <c r="E6" s="11" t="s">
        <v>39</v>
      </c>
      <c r="F6" s="11"/>
    </row>
    <row r="7" spans="1:6" ht="45" x14ac:dyDescent="0.25">
      <c r="A7" s="11"/>
      <c r="B7" s="11" t="s">
        <v>40</v>
      </c>
      <c r="C7" s="11" t="s">
        <v>41</v>
      </c>
      <c r="D7" s="11">
        <v>2</v>
      </c>
      <c r="E7" s="11" t="s">
        <v>42</v>
      </c>
      <c r="F7" s="11"/>
    </row>
    <row r="8" spans="1:6" x14ac:dyDescent="0.25">
      <c r="A8" s="11"/>
      <c r="B8" s="11"/>
      <c r="C8" s="11"/>
      <c r="D8" s="11"/>
      <c r="E8" s="11"/>
      <c r="F8" s="11"/>
    </row>
    <row r="9" spans="1:6" ht="30" x14ac:dyDescent="0.25">
      <c r="A9" s="11"/>
      <c r="B9" s="11" t="s">
        <v>43</v>
      </c>
      <c r="C9" s="11" t="s">
        <v>44</v>
      </c>
      <c r="D9" s="11">
        <v>1</v>
      </c>
      <c r="E9" s="11" t="s">
        <v>45</v>
      </c>
      <c r="F9" s="11"/>
    </row>
    <row r="10" spans="1:6" ht="30" x14ac:dyDescent="0.25">
      <c r="A10" s="11"/>
      <c r="B10" s="11" t="s">
        <v>46</v>
      </c>
      <c r="C10" s="11" t="s">
        <v>47</v>
      </c>
      <c r="D10" s="11">
        <v>4</v>
      </c>
      <c r="E10" s="11" t="s">
        <v>48</v>
      </c>
      <c r="F10" s="11"/>
    </row>
    <row r="11" spans="1:6" x14ac:dyDescent="0.25">
      <c r="A11" s="11"/>
      <c r="B11" s="11"/>
      <c r="C11" s="11"/>
      <c r="D11" s="11"/>
      <c r="E11" s="11"/>
      <c r="F11" s="11"/>
    </row>
    <row r="12" spans="1:6" ht="45" x14ac:dyDescent="0.25">
      <c r="A12" s="11"/>
      <c r="B12" s="11" t="s">
        <v>49</v>
      </c>
      <c r="C12" s="11" t="s">
        <v>50</v>
      </c>
      <c r="D12" s="11">
        <v>2</v>
      </c>
      <c r="E12" s="11" t="s">
        <v>51</v>
      </c>
      <c r="F12" s="11"/>
    </row>
    <row r="13" spans="1:6" ht="30" x14ac:dyDescent="0.25">
      <c r="A13" s="11"/>
      <c r="B13" s="11" t="s">
        <v>52</v>
      </c>
      <c r="C13" s="11" t="s">
        <v>53</v>
      </c>
      <c r="D13" s="11">
        <v>1</v>
      </c>
      <c r="E13" s="11" t="s">
        <v>54</v>
      </c>
      <c r="F13" s="11"/>
    </row>
    <row r="14" spans="1:6" x14ac:dyDescent="0.25">
      <c r="A14" s="11"/>
      <c r="B14" s="11"/>
      <c r="C14" s="11"/>
      <c r="D14" s="11"/>
      <c r="E14" s="11"/>
      <c r="F14" s="11"/>
    </row>
    <row r="15" spans="1:6" x14ac:dyDescent="0.25">
      <c r="A15" s="11"/>
      <c r="B15" s="11"/>
      <c r="C15" s="11"/>
      <c r="D15" s="11"/>
      <c r="E15" s="11"/>
      <c r="F15" s="11"/>
    </row>
    <row r="16" spans="1:6" ht="30" x14ac:dyDescent="0.25">
      <c r="A16" s="10" t="s">
        <v>55</v>
      </c>
      <c r="B16" s="11" t="s">
        <v>56</v>
      </c>
      <c r="C16" s="11" t="s">
        <v>57</v>
      </c>
      <c r="D16" s="11">
        <v>3</v>
      </c>
      <c r="E16" s="11" t="s">
        <v>58</v>
      </c>
      <c r="F16" s="11"/>
    </row>
    <row r="17" spans="1:6" ht="30" x14ac:dyDescent="0.25">
      <c r="A17" s="11"/>
      <c r="B17" s="11" t="s">
        <v>59</v>
      </c>
      <c r="C17" s="11" t="s">
        <v>60</v>
      </c>
      <c r="D17" s="11">
        <v>4</v>
      </c>
      <c r="E17" s="11" t="s">
        <v>61</v>
      </c>
      <c r="F17" s="11"/>
    </row>
    <row r="18" spans="1:6" x14ac:dyDescent="0.25">
      <c r="A18" s="11"/>
      <c r="B18" s="11"/>
      <c r="C18" s="11"/>
      <c r="D18" s="11"/>
      <c r="E18" s="11"/>
      <c r="F18" s="11"/>
    </row>
    <row r="19" spans="1:6" ht="45" x14ac:dyDescent="0.25">
      <c r="A19" s="11"/>
      <c r="B19" s="11" t="s">
        <v>62</v>
      </c>
      <c r="C19" s="11" t="s">
        <v>63</v>
      </c>
      <c r="D19" s="11">
        <v>5</v>
      </c>
      <c r="E19" s="11" t="s">
        <v>64</v>
      </c>
      <c r="F19" s="11"/>
    </row>
    <row r="20" spans="1:6" ht="30" x14ac:dyDescent="0.25">
      <c r="A20" s="11"/>
      <c r="B20" s="11" t="s">
        <v>65</v>
      </c>
      <c r="C20" s="11" t="s">
        <v>66</v>
      </c>
      <c r="D20" s="11">
        <v>0</v>
      </c>
      <c r="E20" s="11" t="s">
        <v>67</v>
      </c>
      <c r="F20" s="11"/>
    </row>
    <row r="21" spans="1:6" x14ac:dyDescent="0.25">
      <c r="A21" s="11"/>
      <c r="B21" s="11"/>
      <c r="C21" s="11"/>
      <c r="D21" s="11"/>
      <c r="E21" s="11"/>
      <c r="F21" s="11"/>
    </row>
    <row r="22" spans="1:6" ht="30" x14ac:dyDescent="0.25">
      <c r="A22" s="11"/>
      <c r="B22" s="11" t="s">
        <v>68</v>
      </c>
      <c r="C22" s="11" t="s">
        <v>69</v>
      </c>
      <c r="D22" s="11">
        <v>2</v>
      </c>
      <c r="E22" s="11" t="s">
        <v>70</v>
      </c>
      <c r="F22" s="11"/>
    </row>
    <row r="23" spans="1:6" ht="30" x14ac:dyDescent="0.25">
      <c r="A23" s="11"/>
      <c r="B23" s="11" t="s">
        <v>71</v>
      </c>
      <c r="C23" s="11" t="s">
        <v>72</v>
      </c>
      <c r="D23" s="11">
        <v>1</v>
      </c>
      <c r="E23" s="11" t="s">
        <v>73</v>
      </c>
      <c r="F23" s="11"/>
    </row>
    <row r="24" spans="1:6" x14ac:dyDescent="0.25">
      <c r="A24" s="11"/>
      <c r="B24" s="11"/>
      <c r="C24" s="11"/>
      <c r="D24" s="11"/>
      <c r="E24" s="11"/>
      <c r="F24" s="11"/>
    </row>
    <row r="25" spans="1:6" x14ac:dyDescent="0.25">
      <c r="A25" s="11"/>
      <c r="B25" s="11"/>
      <c r="C25" s="11"/>
      <c r="D25" s="11"/>
      <c r="E25" s="11"/>
      <c r="F25" s="11"/>
    </row>
    <row r="26" spans="1:6" ht="30" x14ac:dyDescent="0.25">
      <c r="A26" s="10" t="s">
        <v>74</v>
      </c>
      <c r="B26" s="11" t="s">
        <v>75</v>
      </c>
      <c r="C26" s="11" t="s">
        <v>76</v>
      </c>
      <c r="D26" s="11">
        <v>1</v>
      </c>
      <c r="E26" s="11" t="s">
        <v>77</v>
      </c>
      <c r="F26" s="11"/>
    </row>
    <row r="27" spans="1:6" ht="30" x14ac:dyDescent="0.25">
      <c r="A27" s="11"/>
      <c r="B27" s="11" t="s">
        <v>78</v>
      </c>
      <c r="C27" s="11" t="s">
        <v>79</v>
      </c>
      <c r="D27" s="11">
        <v>2</v>
      </c>
      <c r="E27" s="11" t="s">
        <v>80</v>
      </c>
      <c r="F27" s="11"/>
    </row>
    <row r="28" spans="1:6" x14ac:dyDescent="0.25">
      <c r="A28" s="11"/>
      <c r="B28" s="11"/>
      <c r="C28" s="11"/>
      <c r="D28" s="11"/>
      <c r="E28" s="11"/>
      <c r="F28" s="11"/>
    </row>
    <row r="29" spans="1:6" ht="45" x14ac:dyDescent="0.25">
      <c r="A29" s="11"/>
      <c r="B29" s="11" t="s">
        <v>81</v>
      </c>
      <c r="C29" s="11" t="s">
        <v>82</v>
      </c>
      <c r="D29" s="11">
        <v>0</v>
      </c>
      <c r="E29" s="11" t="s">
        <v>83</v>
      </c>
      <c r="F29" s="11"/>
    </row>
    <row r="30" spans="1:6" ht="30" x14ac:dyDescent="0.25">
      <c r="A30" s="11"/>
      <c r="B30" s="11" t="s">
        <v>84</v>
      </c>
      <c r="C30" s="11" t="s">
        <v>85</v>
      </c>
      <c r="D30" s="11">
        <v>3</v>
      </c>
      <c r="E30" s="11" t="s">
        <v>86</v>
      </c>
      <c r="F30" s="11"/>
    </row>
    <row r="31" spans="1:6" x14ac:dyDescent="0.25">
      <c r="A31" s="11"/>
      <c r="B31" s="11"/>
      <c r="C31" s="11"/>
      <c r="D31" s="11"/>
      <c r="E31" s="11"/>
      <c r="F31" s="11"/>
    </row>
    <row r="32" spans="1:6" ht="30" x14ac:dyDescent="0.25">
      <c r="A32" s="11"/>
      <c r="B32" s="11" t="s">
        <v>87</v>
      </c>
      <c r="C32" s="11" t="s">
        <v>88</v>
      </c>
      <c r="D32" s="11">
        <v>0</v>
      </c>
      <c r="E32" s="11" t="s">
        <v>89</v>
      </c>
      <c r="F32" s="11"/>
    </row>
    <row r="33" spans="1:6" ht="30" x14ac:dyDescent="0.25">
      <c r="A33" s="11"/>
      <c r="B33" s="11" t="s">
        <v>90</v>
      </c>
      <c r="C33" s="11" t="s">
        <v>91</v>
      </c>
      <c r="D33" s="11">
        <v>2</v>
      </c>
      <c r="E33" s="11" t="s">
        <v>92</v>
      </c>
      <c r="F33" s="11"/>
    </row>
    <row r="34" spans="1:6" x14ac:dyDescent="0.25">
      <c r="A34" s="11"/>
      <c r="B34" s="11"/>
      <c r="C34" s="11"/>
      <c r="D34" s="11"/>
      <c r="E34" s="11"/>
      <c r="F34" s="11"/>
    </row>
    <row r="35" spans="1:6" x14ac:dyDescent="0.25">
      <c r="A35" s="11"/>
      <c r="B35" s="11"/>
      <c r="C35" s="11"/>
      <c r="D35" s="11"/>
      <c r="E35" s="11"/>
      <c r="F35" s="11"/>
    </row>
    <row r="36" spans="1:6" ht="30" x14ac:dyDescent="0.25">
      <c r="A36" s="10" t="s">
        <v>93</v>
      </c>
      <c r="B36" s="11" t="s">
        <v>94</v>
      </c>
      <c r="C36" s="11" t="s">
        <v>95</v>
      </c>
      <c r="D36" s="11">
        <v>1</v>
      </c>
      <c r="E36" s="11" t="s">
        <v>96</v>
      </c>
      <c r="F36" s="11"/>
    </row>
    <row r="37" spans="1:6" ht="30" x14ac:dyDescent="0.25">
      <c r="A37" s="11"/>
      <c r="B37" s="11" t="s">
        <v>97</v>
      </c>
      <c r="C37" s="11" t="s">
        <v>98</v>
      </c>
      <c r="D37" s="11">
        <v>2</v>
      </c>
      <c r="E37" s="11" t="s">
        <v>99</v>
      </c>
      <c r="F37" s="11"/>
    </row>
    <row r="38" spans="1:6" x14ac:dyDescent="0.25">
      <c r="A38" s="11"/>
      <c r="B38" s="11"/>
      <c r="C38" s="11"/>
      <c r="D38" s="11"/>
      <c r="E38" s="11"/>
      <c r="F38" s="11"/>
    </row>
    <row r="39" spans="1:6" ht="30" x14ac:dyDescent="0.25">
      <c r="A39" s="11"/>
      <c r="B39" s="11" t="s">
        <v>100</v>
      </c>
      <c r="C39" s="11" t="s">
        <v>101</v>
      </c>
      <c r="D39" s="11">
        <v>4</v>
      </c>
      <c r="E39" s="11" t="s">
        <v>102</v>
      </c>
      <c r="F39" s="11"/>
    </row>
    <row r="40" spans="1:6" ht="30" x14ac:dyDescent="0.25">
      <c r="A40" s="11"/>
      <c r="B40" s="11" t="s">
        <v>103</v>
      </c>
      <c r="C40" s="11" t="s">
        <v>104</v>
      </c>
      <c r="D40" s="11">
        <v>2</v>
      </c>
      <c r="E40" s="11" t="s">
        <v>105</v>
      </c>
      <c r="F40" s="11"/>
    </row>
    <row r="41" spans="1:6" x14ac:dyDescent="0.25">
      <c r="A41" s="11"/>
      <c r="B41" s="11"/>
      <c r="C41" s="11"/>
      <c r="D41" s="11"/>
      <c r="E41" s="11"/>
      <c r="F41" s="11"/>
    </row>
    <row r="42" spans="1:6" ht="30" x14ac:dyDescent="0.25">
      <c r="A42" s="11"/>
      <c r="B42" s="11" t="s">
        <v>106</v>
      </c>
      <c r="C42" s="11" t="s">
        <v>107</v>
      </c>
      <c r="D42" s="11">
        <v>5</v>
      </c>
      <c r="E42" s="11" t="s">
        <v>108</v>
      </c>
      <c r="F42" s="11"/>
    </row>
    <row r="43" spans="1:6" ht="30" x14ac:dyDescent="0.25">
      <c r="A43" s="11"/>
      <c r="B43" s="11" t="s">
        <v>109</v>
      </c>
      <c r="C43" s="11" t="s">
        <v>110</v>
      </c>
      <c r="D43" s="11">
        <v>0</v>
      </c>
      <c r="E43" s="11" t="s">
        <v>111</v>
      </c>
      <c r="F43" s="11"/>
    </row>
    <row r="44" spans="1:6" x14ac:dyDescent="0.25">
      <c r="A44" s="11"/>
      <c r="B44" s="11"/>
      <c r="C44" s="11"/>
      <c r="D44" s="11"/>
      <c r="E44" s="11"/>
      <c r="F44" s="11"/>
    </row>
    <row r="45" spans="1:6" x14ac:dyDescent="0.25">
      <c r="A45" s="11"/>
      <c r="B45" s="11"/>
      <c r="C45" s="11"/>
      <c r="D45" s="11"/>
      <c r="E45" s="11"/>
      <c r="F45" s="11"/>
    </row>
    <row r="46" spans="1:6" ht="30" x14ac:dyDescent="0.25">
      <c r="A46" s="10" t="s">
        <v>112</v>
      </c>
      <c r="B46" s="11" t="s">
        <v>113</v>
      </c>
      <c r="C46" s="11" t="s">
        <v>114</v>
      </c>
      <c r="D46" s="11">
        <v>2</v>
      </c>
      <c r="E46" s="11" t="s">
        <v>115</v>
      </c>
      <c r="F46" s="11"/>
    </row>
    <row r="47" spans="1:6" ht="30" x14ac:dyDescent="0.25">
      <c r="A47" s="11"/>
      <c r="B47" s="11" t="s">
        <v>116</v>
      </c>
      <c r="C47" s="11" t="s">
        <v>117</v>
      </c>
      <c r="D47" s="11">
        <v>3</v>
      </c>
      <c r="E47" s="11" t="s">
        <v>118</v>
      </c>
      <c r="F47" s="11"/>
    </row>
    <row r="48" spans="1:6" x14ac:dyDescent="0.25">
      <c r="A48" s="11"/>
      <c r="B48" s="11"/>
      <c r="C48" s="11"/>
      <c r="D48" s="11"/>
      <c r="E48" s="11"/>
      <c r="F48" s="11"/>
    </row>
    <row r="49" spans="1:6" ht="30" x14ac:dyDescent="0.25">
      <c r="A49" s="11"/>
      <c r="B49" s="11" t="s">
        <v>119</v>
      </c>
      <c r="C49" s="11" t="s">
        <v>120</v>
      </c>
      <c r="D49" s="11">
        <v>1</v>
      </c>
      <c r="E49" s="11" t="s">
        <v>121</v>
      </c>
      <c r="F49" s="11"/>
    </row>
    <row r="50" spans="1:6" ht="30" x14ac:dyDescent="0.25">
      <c r="A50" s="11"/>
      <c r="B50" s="11" t="s">
        <v>122</v>
      </c>
      <c r="C50" s="11" t="s">
        <v>123</v>
      </c>
      <c r="D50" s="11">
        <v>2</v>
      </c>
      <c r="E50" s="11" t="s">
        <v>124</v>
      </c>
      <c r="F50" s="11"/>
    </row>
    <row r="51" spans="1:6" x14ac:dyDescent="0.25">
      <c r="A51" s="11"/>
      <c r="B51" s="11"/>
      <c r="C51" s="11"/>
      <c r="D51" s="11"/>
      <c r="E51" s="11"/>
      <c r="F51" s="11"/>
    </row>
    <row r="52" spans="1:6" ht="30" x14ac:dyDescent="0.25">
      <c r="A52" s="11"/>
      <c r="B52" s="11" t="s">
        <v>125</v>
      </c>
      <c r="C52" s="11" t="s">
        <v>126</v>
      </c>
      <c r="D52" s="11">
        <v>1</v>
      </c>
      <c r="E52" s="11" t="s">
        <v>127</v>
      </c>
      <c r="F52" s="11"/>
    </row>
    <row r="53" spans="1:6" ht="30" x14ac:dyDescent="0.25">
      <c r="A53" s="11"/>
      <c r="B53" s="11" t="s">
        <v>128</v>
      </c>
      <c r="C53" s="11" t="s">
        <v>129</v>
      </c>
      <c r="D53" s="11">
        <v>2</v>
      </c>
      <c r="E53" s="11" t="s">
        <v>130</v>
      </c>
      <c r="F53" s="11"/>
    </row>
  </sheetData>
  <mergeCells count="2">
    <mergeCell ref="A3:F3"/>
    <mergeCell ref="A1:F1"/>
  </mergeCells>
  <dataValidations count="1">
    <dataValidation type="whole" showErrorMessage="1" errorTitle="Valore non valido" error="Inserire un valore tra 0 e 5" promptTitle="Scala di valutazione" prompt="Selezionare un valore da 0 (assente) a 5 (ottimale)" sqref="D6:D53" xr:uid="{00000000-0002-0000-0100-000000000000}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abSelected="1" workbookViewId="0">
      <selection activeCell="L17" sqref="L17"/>
    </sheetView>
  </sheetViews>
  <sheetFormatPr defaultRowHeight="15" x14ac:dyDescent="0.25"/>
  <cols>
    <col min="1" max="1" width="30" customWidth="1"/>
    <col min="2" max="2" width="12" customWidth="1"/>
    <col min="6" max="6" width="35" customWidth="1"/>
    <col min="7" max="9" width="12" customWidth="1"/>
    <col min="10" max="10" width="15" customWidth="1"/>
  </cols>
  <sheetData>
    <row r="1" spans="1:10" ht="18.75" x14ac:dyDescent="0.25">
      <c r="A1" s="28" t="s">
        <v>131</v>
      </c>
      <c r="B1" s="14"/>
      <c r="C1" s="14"/>
      <c r="D1" s="14"/>
      <c r="E1" s="14"/>
      <c r="F1" s="14"/>
      <c r="G1" s="14"/>
      <c r="H1" s="14"/>
    </row>
    <row r="3" spans="1:10" ht="15.75" x14ac:dyDescent="0.25">
      <c r="A3" s="22" t="s">
        <v>132</v>
      </c>
      <c r="B3" s="14"/>
      <c r="C3" s="14"/>
      <c r="D3" s="14"/>
      <c r="F3" s="22" t="s">
        <v>133</v>
      </c>
      <c r="G3" s="14"/>
      <c r="H3" s="14"/>
      <c r="I3" s="14"/>
      <c r="J3" s="14"/>
    </row>
    <row r="4" spans="1:10" x14ac:dyDescent="0.25">
      <c r="A4" s="6" t="s">
        <v>15</v>
      </c>
      <c r="B4" s="6" t="s">
        <v>134</v>
      </c>
      <c r="C4" s="6" t="s">
        <v>135</v>
      </c>
      <c r="D4" s="6" t="s">
        <v>136</v>
      </c>
      <c r="F4" s="6" t="s">
        <v>135</v>
      </c>
      <c r="G4" s="6" t="s">
        <v>137</v>
      </c>
      <c r="H4" s="6" t="s">
        <v>138</v>
      </c>
      <c r="I4" s="6" t="s">
        <v>139</v>
      </c>
      <c r="J4" s="6" t="s">
        <v>140</v>
      </c>
    </row>
    <row r="5" spans="1:10" x14ac:dyDescent="0.25">
      <c r="A5" t="s">
        <v>141</v>
      </c>
      <c r="B5" s="8">
        <f>I23</f>
        <v>0.25</v>
      </c>
      <c r="C5" t="s">
        <v>142</v>
      </c>
      <c r="D5" s="8">
        <v>0.33329999999999999</v>
      </c>
      <c r="F5" t="s">
        <v>142</v>
      </c>
      <c r="G5">
        <f>Questionario!D6</f>
        <v>1</v>
      </c>
      <c r="H5">
        <f>Questionario!D7</f>
        <v>2</v>
      </c>
      <c r="I5">
        <f t="shared" ref="I5:I19" si="0">(G5+H5)/2</f>
        <v>1.5</v>
      </c>
      <c r="J5" s="7">
        <f>I5/5*100</f>
        <v>30</v>
      </c>
    </row>
    <row r="6" spans="1:10" x14ac:dyDescent="0.25">
      <c r="C6" t="s">
        <v>143</v>
      </c>
      <c r="D6" s="8">
        <v>0.33329999999999999</v>
      </c>
      <c r="F6" t="s">
        <v>143</v>
      </c>
      <c r="G6">
        <f>Questionario!D9</f>
        <v>1</v>
      </c>
      <c r="H6">
        <f>Questionario!D10</f>
        <v>4</v>
      </c>
      <c r="I6">
        <f t="shared" si="0"/>
        <v>2.5</v>
      </c>
      <c r="J6" s="7">
        <f t="shared" ref="J5:J19" si="1">I6/5*100</f>
        <v>50</v>
      </c>
    </row>
    <row r="7" spans="1:10" x14ac:dyDescent="0.25">
      <c r="C7" t="s">
        <v>144</v>
      </c>
      <c r="D7" s="8">
        <v>0.33329999999999999</v>
      </c>
      <c r="F7" t="s">
        <v>144</v>
      </c>
      <c r="G7">
        <f>Questionario!D12</f>
        <v>2</v>
      </c>
      <c r="H7">
        <f>Questionario!D13</f>
        <v>1</v>
      </c>
      <c r="I7">
        <f t="shared" si="0"/>
        <v>1.5</v>
      </c>
      <c r="J7" s="7">
        <f t="shared" si="1"/>
        <v>30</v>
      </c>
    </row>
    <row r="8" spans="1:10" x14ac:dyDescent="0.25">
      <c r="A8" t="s">
        <v>145</v>
      </c>
      <c r="B8" s="8">
        <f>I24</f>
        <v>0.25</v>
      </c>
      <c r="C8" t="s">
        <v>146</v>
      </c>
      <c r="D8" s="8">
        <v>0.33329999999999999</v>
      </c>
      <c r="F8" t="s">
        <v>146</v>
      </c>
      <c r="G8">
        <f>Questionario!D16</f>
        <v>3</v>
      </c>
      <c r="H8">
        <f>Questionario!D17</f>
        <v>4</v>
      </c>
      <c r="I8">
        <f t="shared" si="0"/>
        <v>3.5</v>
      </c>
      <c r="J8" s="7">
        <f t="shared" si="1"/>
        <v>70</v>
      </c>
    </row>
    <row r="9" spans="1:10" x14ac:dyDescent="0.25">
      <c r="C9" t="s">
        <v>147</v>
      </c>
      <c r="D9" s="8">
        <v>0.33329999999999999</v>
      </c>
      <c r="F9" t="s">
        <v>147</v>
      </c>
      <c r="G9">
        <f>Questionario!D19</f>
        <v>5</v>
      </c>
      <c r="H9">
        <f>Questionario!D20</f>
        <v>0</v>
      </c>
      <c r="I9">
        <f t="shared" si="0"/>
        <v>2.5</v>
      </c>
      <c r="J9" s="7">
        <f t="shared" si="1"/>
        <v>50</v>
      </c>
    </row>
    <row r="10" spans="1:10" x14ac:dyDescent="0.25">
      <c r="C10" t="s">
        <v>148</v>
      </c>
      <c r="D10" s="8">
        <v>0.33329999999999999</v>
      </c>
      <c r="F10" t="s">
        <v>148</v>
      </c>
      <c r="G10">
        <f>Questionario!D22</f>
        <v>2</v>
      </c>
      <c r="H10">
        <f>Questionario!D23</f>
        <v>1</v>
      </c>
      <c r="I10">
        <f t="shared" si="0"/>
        <v>1.5</v>
      </c>
      <c r="J10" s="7">
        <f t="shared" si="1"/>
        <v>30</v>
      </c>
    </row>
    <row r="11" spans="1:10" x14ac:dyDescent="0.25">
      <c r="A11" t="s">
        <v>149</v>
      </c>
      <c r="B11" s="8">
        <f>I25</f>
        <v>0.16</v>
      </c>
      <c r="C11" t="s">
        <v>150</v>
      </c>
      <c r="D11" s="8">
        <v>0.33329999999999999</v>
      </c>
      <c r="F11" t="s">
        <v>150</v>
      </c>
      <c r="G11">
        <f>Questionario!D26</f>
        <v>1</v>
      </c>
      <c r="H11">
        <f>Questionario!D27</f>
        <v>2</v>
      </c>
      <c r="I11">
        <f t="shared" si="0"/>
        <v>1.5</v>
      </c>
      <c r="J11" s="7">
        <f t="shared" si="1"/>
        <v>30</v>
      </c>
    </row>
    <row r="12" spans="1:10" x14ac:dyDescent="0.25">
      <c r="C12" t="s">
        <v>151</v>
      </c>
      <c r="D12" s="8">
        <v>0.33329999999999999</v>
      </c>
      <c r="F12" t="s">
        <v>151</v>
      </c>
      <c r="G12">
        <f>Questionario!D29</f>
        <v>0</v>
      </c>
      <c r="H12">
        <f>Questionario!D30</f>
        <v>3</v>
      </c>
      <c r="I12">
        <f t="shared" si="0"/>
        <v>1.5</v>
      </c>
      <c r="J12" s="7">
        <f t="shared" si="1"/>
        <v>30</v>
      </c>
    </row>
    <row r="13" spans="1:10" x14ac:dyDescent="0.25">
      <c r="C13" t="s">
        <v>152</v>
      </c>
      <c r="D13" s="8">
        <v>0.33329999999999999</v>
      </c>
      <c r="F13" t="s">
        <v>152</v>
      </c>
      <c r="G13">
        <f>Questionario!D32</f>
        <v>0</v>
      </c>
      <c r="H13">
        <f>Questionario!D33</f>
        <v>2</v>
      </c>
      <c r="I13">
        <f t="shared" si="0"/>
        <v>1</v>
      </c>
      <c r="J13" s="7">
        <f t="shared" si="1"/>
        <v>20</v>
      </c>
    </row>
    <row r="14" spans="1:10" x14ac:dyDescent="0.25">
      <c r="A14" t="s">
        <v>153</v>
      </c>
      <c r="B14" s="8">
        <f>I26</f>
        <v>0.22</v>
      </c>
      <c r="C14" t="s">
        <v>154</v>
      </c>
      <c r="D14" s="8">
        <v>0.33329999999999999</v>
      </c>
      <c r="F14" t="s">
        <v>154</v>
      </c>
      <c r="G14">
        <f>Questionario!D36</f>
        <v>1</v>
      </c>
      <c r="H14">
        <f>Questionario!D37</f>
        <v>2</v>
      </c>
      <c r="I14">
        <f t="shared" si="0"/>
        <v>1.5</v>
      </c>
      <c r="J14" s="7">
        <f t="shared" si="1"/>
        <v>30</v>
      </c>
    </row>
    <row r="15" spans="1:10" x14ac:dyDescent="0.25">
      <c r="C15" t="s">
        <v>155</v>
      </c>
      <c r="D15" s="8">
        <v>0.33329999999999999</v>
      </c>
      <c r="F15" t="s">
        <v>155</v>
      </c>
      <c r="G15">
        <f>Questionario!D39</f>
        <v>4</v>
      </c>
      <c r="H15">
        <f>Questionario!D40</f>
        <v>2</v>
      </c>
      <c r="I15">
        <f t="shared" si="0"/>
        <v>3</v>
      </c>
      <c r="J15" s="7">
        <f t="shared" si="1"/>
        <v>60</v>
      </c>
    </row>
    <row r="16" spans="1:10" x14ac:dyDescent="0.25">
      <c r="C16" t="s">
        <v>156</v>
      </c>
      <c r="D16" s="8">
        <v>0.33329999999999999</v>
      </c>
      <c r="F16" t="s">
        <v>156</v>
      </c>
      <c r="G16">
        <f>Questionario!D42</f>
        <v>5</v>
      </c>
      <c r="H16">
        <f>Questionario!D43</f>
        <v>0</v>
      </c>
      <c r="I16">
        <f t="shared" si="0"/>
        <v>2.5</v>
      </c>
      <c r="J16" s="7">
        <f t="shared" si="1"/>
        <v>50</v>
      </c>
    </row>
    <row r="17" spans="1:10" x14ac:dyDescent="0.25">
      <c r="A17" t="s">
        <v>157</v>
      </c>
      <c r="B17" s="8">
        <f>I27</f>
        <v>0.12</v>
      </c>
      <c r="C17" t="s">
        <v>158</v>
      </c>
      <c r="D17" s="8">
        <v>0.33329999999999999</v>
      </c>
      <c r="F17" t="s">
        <v>158</v>
      </c>
      <c r="G17">
        <f>Questionario!D46</f>
        <v>2</v>
      </c>
      <c r="H17">
        <f>Questionario!D47</f>
        <v>3</v>
      </c>
      <c r="I17">
        <f t="shared" si="0"/>
        <v>2.5</v>
      </c>
      <c r="J17" s="7">
        <f t="shared" si="1"/>
        <v>50</v>
      </c>
    </row>
    <row r="18" spans="1:10" x14ac:dyDescent="0.25">
      <c r="C18" t="s">
        <v>159</v>
      </c>
      <c r="D18" s="8">
        <v>0.33329999999999999</v>
      </c>
      <c r="F18" t="s">
        <v>159</v>
      </c>
      <c r="G18">
        <f>Questionario!D49</f>
        <v>1</v>
      </c>
      <c r="H18">
        <f>Questionario!D50</f>
        <v>2</v>
      </c>
      <c r="I18">
        <f t="shared" si="0"/>
        <v>1.5</v>
      </c>
      <c r="J18" s="7">
        <f t="shared" si="1"/>
        <v>30</v>
      </c>
    </row>
    <row r="19" spans="1:10" x14ac:dyDescent="0.25">
      <c r="C19" t="s">
        <v>160</v>
      </c>
      <c r="D19" s="8">
        <v>0.33329999999999999</v>
      </c>
      <c r="F19" t="s">
        <v>160</v>
      </c>
      <c r="G19">
        <f>Questionario!D52</f>
        <v>1</v>
      </c>
      <c r="H19">
        <f>Questionario!D53</f>
        <v>2</v>
      </c>
      <c r="I19">
        <f t="shared" si="0"/>
        <v>1.5</v>
      </c>
      <c r="J19" s="7">
        <f t="shared" si="1"/>
        <v>30</v>
      </c>
    </row>
    <row r="21" spans="1:10" ht="15.75" x14ac:dyDescent="0.25">
      <c r="F21" s="22" t="s">
        <v>14</v>
      </c>
      <c r="G21" s="14"/>
      <c r="H21" s="14"/>
      <c r="I21" s="14"/>
      <c r="J21" s="14"/>
    </row>
    <row r="22" spans="1:10" x14ac:dyDescent="0.25">
      <c r="F22" s="6" t="s">
        <v>15</v>
      </c>
      <c r="G22" s="6" t="s">
        <v>161</v>
      </c>
      <c r="H22" s="6" t="s">
        <v>162</v>
      </c>
      <c r="I22" s="6" t="s">
        <v>17</v>
      </c>
      <c r="J22" s="6" t="s">
        <v>163</v>
      </c>
    </row>
    <row r="23" spans="1:10" x14ac:dyDescent="0.25">
      <c r="F23" t="s">
        <v>141</v>
      </c>
      <c r="G23" t="s">
        <v>164</v>
      </c>
      <c r="H23" s="7">
        <f>AVERAGE(J5:J7)</f>
        <v>36.666666666666664</v>
      </c>
      <c r="I23" s="8">
        <v>0.25</v>
      </c>
      <c r="J23" s="7">
        <f>H23*I23</f>
        <v>9.1666666666666661</v>
      </c>
    </row>
    <row r="24" spans="1:10" x14ac:dyDescent="0.25">
      <c r="F24" t="s">
        <v>145</v>
      </c>
      <c r="G24" t="s">
        <v>164</v>
      </c>
      <c r="H24" s="7">
        <f>AVERAGE(J8:J10)</f>
        <v>50</v>
      </c>
      <c r="I24" s="8">
        <v>0.25</v>
      </c>
      <c r="J24" s="7">
        <f>H24*I24</f>
        <v>12.5</v>
      </c>
    </row>
    <row r="25" spans="1:10" x14ac:dyDescent="0.25">
      <c r="F25" t="s">
        <v>149</v>
      </c>
      <c r="G25" t="s">
        <v>164</v>
      </c>
      <c r="H25" s="7">
        <f>AVERAGE(J11:J13)</f>
        <v>26.666666666666668</v>
      </c>
      <c r="I25" s="8">
        <v>0.16</v>
      </c>
      <c r="J25" s="7">
        <f>H25*I25</f>
        <v>4.2666666666666666</v>
      </c>
    </row>
    <row r="26" spans="1:10" x14ac:dyDescent="0.25">
      <c r="F26" t="s">
        <v>153</v>
      </c>
      <c r="G26" t="s">
        <v>164</v>
      </c>
      <c r="H26" s="7">
        <f>AVERAGE(J14:J16)</f>
        <v>46.666666666666664</v>
      </c>
      <c r="I26" s="8">
        <v>0.22</v>
      </c>
      <c r="J26" s="7">
        <f>H26*I26</f>
        <v>10.266666666666666</v>
      </c>
    </row>
    <row r="27" spans="1:10" x14ac:dyDescent="0.25">
      <c r="F27" t="s">
        <v>157</v>
      </c>
      <c r="G27" t="s">
        <v>164</v>
      </c>
      <c r="H27" s="7">
        <f>AVERAGE(J17:J19)</f>
        <v>36.666666666666664</v>
      </c>
      <c r="I27" s="8">
        <v>0.12</v>
      </c>
      <c r="J27" s="7">
        <f>H27*I27</f>
        <v>4.3999999999999995</v>
      </c>
    </row>
    <row r="30" spans="1:10" ht="18.75" x14ac:dyDescent="0.3">
      <c r="F30" s="30" t="s">
        <v>165</v>
      </c>
      <c r="G30" s="14"/>
      <c r="H30" s="14"/>
      <c r="I30" s="29">
        <f>SUM(J23:J27)</f>
        <v>40.599999999999994</v>
      </c>
      <c r="J30" s="14"/>
    </row>
    <row r="32" spans="1:10" ht="15.75" x14ac:dyDescent="0.25">
      <c r="F32" s="12" t="s">
        <v>166</v>
      </c>
      <c r="G32" s="16" t="str">
        <f>IF(I30&lt;=20,"Iniziale",IF(I30&lt;=40,"Consapevole",IF(I30&lt;=60,"In Sviluppo",IF(I30&lt;=80,"Avanzato","Leader"))))</f>
        <v>In Sviluppo</v>
      </c>
      <c r="H32" s="14"/>
      <c r="I32" s="14"/>
      <c r="J32" s="14"/>
    </row>
    <row r="35" spans="1:3" x14ac:dyDescent="0.25">
      <c r="A35" s="31" t="s">
        <v>15</v>
      </c>
      <c r="B35" s="31" t="s">
        <v>16</v>
      </c>
      <c r="C35" s="31" t="s">
        <v>197</v>
      </c>
    </row>
    <row r="36" spans="1:3" x14ac:dyDescent="0.25">
      <c r="A36" t="s">
        <v>141</v>
      </c>
      <c r="B36" s="7">
        <f>J23</f>
        <v>9.1666666666666661</v>
      </c>
      <c r="C36">
        <f>I23*100</f>
        <v>25</v>
      </c>
    </row>
    <row r="37" spans="1:3" x14ac:dyDescent="0.25">
      <c r="A37" t="s">
        <v>145</v>
      </c>
      <c r="B37" s="7">
        <f>J24</f>
        <v>12.5</v>
      </c>
      <c r="C37">
        <f>I24*100</f>
        <v>25</v>
      </c>
    </row>
    <row r="38" spans="1:3" x14ac:dyDescent="0.25">
      <c r="A38" t="s">
        <v>149</v>
      </c>
      <c r="B38" s="7">
        <f>J25</f>
        <v>4.2666666666666666</v>
      </c>
      <c r="C38">
        <f>I25*100</f>
        <v>16</v>
      </c>
    </row>
    <row r="39" spans="1:3" x14ac:dyDescent="0.25">
      <c r="A39" t="s">
        <v>153</v>
      </c>
      <c r="B39" s="7">
        <f>J26</f>
        <v>10.266666666666666</v>
      </c>
      <c r="C39">
        <f>I26*100</f>
        <v>22</v>
      </c>
    </row>
    <row r="40" spans="1:3" x14ac:dyDescent="0.25">
      <c r="A40" t="s">
        <v>157</v>
      </c>
      <c r="B40" s="7">
        <f>J27</f>
        <v>4.3999999999999995</v>
      </c>
      <c r="C40">
        <f>I27*100</f>
        <v>12</v>
      </c>
    </row>
  </sheetData>
  <mergeCells count="7">
    <mergeCell ref="G32:J32"/>
    <mergeCell ref="A1:H1"/>
    <mergeCell ref="I30:J30"/>
    <mergeCell ref="F3:J3"/>
    <mergeCell ref="F21:J21"/>
    <mergeCell ref="A3:D3"/>
    <mergeCell ref="F30:H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3458-1240-4A07-AF4A-291799F668EC}">
  <sheetPr>
    <pageSetUpPr fitToPage="1"/>
  </sheetPr>
  <dimension ref="A4:B53"/>
  <sheetViews>
    <sheetView workbookViewId="0">
      <selection activeCell="B6" sqref="B6"/>
    </sheetView>
  </sheetViews>
  <sheetFormatPr defaultRowHeight="15" x14ac:dyDescent="0.25"/>
  <cols>
    <col min="1" max="1" width="97.140625" style="42" customWidth="1"/>
    <col min="2" max="2" width="9" style="42" customWidth="1"/>
  </cols>
  <sheetData>
    <row r="4" spans="1:2" ht="21" x14ac:dyDescent="0.25">
      <c r="A4" s="44" t="s">
        <v>167</v>
      </c>
      <c r="B4" s="43" t="s">
        <v>175</v>
      </c>
    </row>
    <row r="5" spans="1:2" ht="18.75" x14ac:dyDescent="0.25">
      <c r="A5" s="45" t="s">
        <v>168</v>
      </c>
      <c r="B5" s="32"/>
    </row>
    <row r="6" spans="1:2" ht="120" x14ac:dyDescent="0.25">
      <c r="A6" s="11" t="s">
        <v>198</v>
      </c>
      <c r="B6" s="33"/>
    </row>
    <row r="7" spans="1:2" ht="120" x14ac:dyDescent="0.25">
      <c r="A7" s="11" t="s">
        <v>199</v>
      </c>
      <c r="B7" s="33"/>
    </row>
    <row r="8" spans="1:2" ht="18.75" x14ac:dyDescent="0.25">
      <c r="A8" s="45" t="s">
        <v>169</v>
      </c>
      <c r="B8" s="32"/>
    </row>
    <row r="9" spans="1:2" ht="105" x14ac:dyDescent="0.25">
      <c r="A9" s="11" t="s">
        <v>200</v>
      </c>
      <c r="B9" s="33"/>
    </row>
    <row r="10" spans="1:2" ht="105" x14ac:dyDescent="0.25">
      <c r="A10" s="11" t="s">
        <v>218</v>
      </c>
      <c r="B10" s="33"/>
    </row>
    <row r="11" spans="1:2" ht="18.75" x14ac:dyDescent="0.25">
      <c r="A11" s="45" t="s">
        <v>170</v>
      </c>
      <c r="B11" s="32"/>
    </row>
    <row r="12" spans="1:2" ht="120" x14ac:dyDescent="0.25">
      <c r="A12" s="11" t="s">
        <v>201</v>
      </c>
      <c r="B12" s="33"/>
    </row>
    <row r="13" spans="1:2" ht="120" x14ac:dyDescent="0.25">
      <c r="A13" s="11" t="s">
        <v>202</v>
      </c>
      <c r="B13" s="33"/>
    </row>
    <row r="14" spans="1:2" ht="21" x14ac:dyDescent="0.25">
      <c r="A14" s="46" t="s">
        <v>171</v>
      </c>
      <c r="B14" s="34"/>
    </row>
    <row r="15" spans="1:2" ht="18.75" x14ac:dyDescent="0.25">
      <c r="A15" s="47" t="s">
        <v>172</v>
      </c>
      <c r="B15" s="35"/>
    </row>
    <row r="16" spans="1:2" ht="120" x14ac:dyDescent="0.25">
      <c r="A16" s="11" t="s">
        <v>173</v>
      </c>
      <c r="B16" s="33"/>
    </row>
    <row r="17" spans="1:2" ht="120" x14ac:dyDescent="0.25">
      <c r="A17" s="11" t="s">
        <v>203</v>
      </c>
      <c r="B17" s="33"/>
    </row>
    <row r="18" spans="1:2" ht="18.75" x14ac:dyDescent="0.25">
      <c r="A18" s="47" t="s">
        <v>174</v>
      </c>
      <c r="B18" s="35"/>
    </row>
    <row r="19" spans="1:2" ht="135" x14ac:dyDescent="0.25">
      <c r="A19" s="11" t="s">
        <v>204</v>
      </c>
      <c r="B19" s="33"/>
    </row>
    <row r="20" spans="1:2" ht="105" x14ac:dyDescent="0.25">
      <c r="A20" s="11" t="s">
        <v>205</v>
      </c>
      <c r="B20" s="33"/>
    </row>
    <row r="21" spans="1:2" ht="18.75" x14ac:dyDescent="0.25">
      <c r="A21" s="47" t="s">
        <v>176</v>
      </c>
      <c r="B21" s="35"/>
    </row>
    <row r="22" spans="1:2" ht="120" x14ac:dyDescent="0.25">
      <c r="A22" s="11" t="s">
        <v>206</v>
      </c>
      <c r="B22" s="33"/>
    </row>
    <row r="23" spans="1:2" ht="105" x14ac:dyDescent="0.25">
      <c r="A23" s="11" t="s">
        <v>207</v>
      </c>
      <c r="B23" s="33"/>
    </row>
    <row r="24" spans="1:2" ht="21" x14ac:dyDescent="0.25">
      <c r="A24" s="48" t="s">
        <v>177</v>
      </c>
      <c r="B24" s="36"/>
    </row>
    <row r="25" spans="1:2" ht="18.75" x14ac:dyDescent="0.25">
      <c r="A25" s="49" t="s">
        <v>178</v>
      </c>
      <c r="B25" s="37"/>
    </row>
    <row r="26" spans="1:2" ht="120" x14ac:dyDescent="0.25">
      <c r="A26" s="11" t="s">
        <v>179</v>
      </c>
      <c r="B26" s="33"/>
    </row>
    <row r="27" spans="1:2" ht="105" x14ac:dyDescent="0.25">
      <c r="A27" s="11" t="s">
        <v>180</v>
      </c>
      <c r="B27" s="33"/>
    </row>
    <row r="28" spans="1:2" ht="18.75" x14ac:dyDescent="0.25">
      <c r="A28" s="49" t="s">
        <v>181</v>
      </c>
      <c r="B28" s="37"/>
    </row>
    <row r="29" spans="1:2" ht="120" x14ac:dyDescent="0.25">
      <c r="A29" s="11" t="s">
        <v>182</v>
      </c>
      <c r="B29" s="33"/>
    </row>
    <row r="30" spans="1:2" ht="120" x14ac:dyDescent="0.25">
      <c r="A30" s="11" t="s">
        <v>183</v>
      </c>
      <c r="B30" s="33"/>
    </row>
    <row r="31" spans="1:2" ht="18.75" x14ac:dyDescent="0.25">
      <c r="A31" s="49" t="s">
        <v>184</v>
      </c>
      <c r="B31" s="37"/>
    </row>
    <row r="32" spans="1:2" ht="120" x14ac:dyDescent="0.25">
      <c r="A32" s="11" t="s">
        <v>185</v>
      </c>
      <c r="B32" s="33"/>
    </row>
    <row r="33" spans="1:2" ht="105" x14ac:dyDescent="0.25">
      <c r="A33" s="11" t="s">
        <v>208</v>
      </c>
      <c r="B33" s="33"/>
    </row>
    <row r="34" spans="1:2" ht="21" x14ac:dyDescent="0.25">
      <c r="A34" s="50" t="s">
        <v>186</v>
      </c>
      <c r="B34" s="38"/>
    </row>
    <row r="35" spans="1:2" ht="18.75" x14ac:dyDescent="0.25">
      <c r="A35" s="51" t="s">
        <v>187</v>
      </c>
      <c r="B35" s="39"/>
    </row>
    <row r="36" spans="1:2" ht="105" x14ac:dyDescent="0.25">
      <c r="A36" s="11" t="s">
        <v>209</v>
      </c>
      <c r="B36" s="33"/>
    </row>
    <row r="37" spans="1:2" ht="105" x14ac:dyDescent="0.25">
      <c r="A37" s="11" t="s">
        <v>210</v>
      </c>
      <c r="B37" s="33"/>
    </row>
    <row r="38" spans="1:2" ht="18.75" x14ac:dyDescent="0.25">
      <c r="A38" s="51" t="s">
        <v>188</v>
      </c>
      <c r="B38" s="39"/>
    </row>
    <row r="39" spans="1:2" ht="120" x14ac:dyDescent="0.25">
      <c r="A39" s="11" t="s">
        <v>211</v>
      </c>
      <c r="B39" s="33"/>
    </row>
    <row r="40" spans="1:2" ht="105" x14ac:dyDescent="0.25">
      <c r="A40" s="11" t="s">
        <v>189</v>
      </c>
      <c r="B40" s="33"/>
    </row>
    <row r="41" spans="1:2" ht="18.75" x14ac:dyDescent="0.25">
      <c r="A41" s="51" t="s">
        <v>190</v>
      </c>
      <c r="B41" s="39"/>
    </row>
    <row r="42" spans="1:2" ht="120" x14ac:dyDescent="0.25">
      <c r="A42" s="11" t="s">
        <v>212</v>
      </c>
      <c r="B42" s="33"/>
    </row>
    <row r="43" spans="1:2" ht="105" x14ac:dyDescent="0.25">
      <c r="A43" s="11" t="s">
        <v>191</v>
      </c>
      <c r="B43" s="33"/>
    </row>
    <row r="44" spans="1:2" ht="21" x14ac:dyDescent="0.25">
      <c r="A44" s="52" t="s">
        <v>192</v>
      </c>
      <c r="B44" s="40"/>
    </row>
    <row r="45" spans="1:2" ht="18.75" x14ac:dyDescent="0.25">
      <c r="A45" s="53" t="s">
        <v>193</v>
      </c>
      <c r="B45" s="41"/>
    </row>
    <row r="46" spans="1:2" ht="120" x14ac:dyDescent="0.25">
      <c r="A46" s="11" t="s">
        <v>213</v>
      </c>
      <c r="B46" s="33"/>
    </row>
    <row r="47" spans="1:2" ht="105" x14ac:dyDescent="0.25">
      <c r="A47" s="11" t="s">
        <v>194</v>
      </c>
      <c r="B47" s="33"/>
    </row>
    <row r="48" spans="1:2" ht="18.75" x14ac:dyDescent="0.25">
      <c r="A48" s="53" t="s">
        <v>195</v>
      </c>
      <c r="B48" s="41"/>
    </row>
    <row r="49" spans="1:2" ht="120" x14ac:dyDescent="0.25">
      <c r="A49" s="11" t="s">
        <v>214</v>
      </c>
      <c r="B49" s="33"/>
    </row>
    <row r="50" spans="1:2" ht="105" x14ac:dyDescent="0.25">
      <c r="A50" s="11" t="s">
        <v>215</v>
      </c>
      <c r="B50" s="33"/>
    </row>
    <row r="51" spans="1:2" ht="18.75" x14ac:dyDescent="0.25">
      <c r="A51" s="53" t="s">
        <v>196</v>
      </c>
      <c r="B51" s="41"/>
    </row>
    <row r="52" spans="1:2" ht="120" x14ac:dyDescent="0.25">
      <c r="A52" s="11" t="s">
        <v>216</v>
      </c>
      <c r="B52" s="33"/>
    </row>
    <row r="53" spans="1:2" ht="105" x14ac:dyDescent="0.25">
      <c r="A53" s="11" t="s">
        <v>217</v>
      </c>
      <c r="B53" s="33"/>
    </row>
  </sheetData>
  <pageMargins left="0.25" right="0.25" top="0.75" bottom="0.75" header="0.3" footer="0.3"/>
  <pageSetup paperSize="9" scale="9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Dashboard</vt:lpstr>
      <vt:lpstr>Questionario</vt:lpstr>
      <vt:lpstr>Calcoli</vt:lpstr>
      <vt:lpstr>Domande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Rossi</cp:lastModifiedBy>
  <cp:lastPrinted>2025-10-26T14:04:06Z</cp:lastPrinted>
  <dcterms:created xsi:type="dcterms:W3CDTF">2025-10-26T10:39:16Z</dcterms:created>
  <dcterms:modified xsi:type="dcterms:W3CDTF">2025-10-26T15:35:13Z</dcterms:modified>
</cp:coreProperties>
</file>